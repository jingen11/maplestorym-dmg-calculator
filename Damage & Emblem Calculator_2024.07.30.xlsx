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ingen/Downloads/"/>
    </mc:Choice>
  </mc:AlternateContent>
  <xr:revisionPtr revIDLastSave="0" documentId="13_ncr:1_{9EE53AAE-F073-FD4E-95A8-CE6995D5D63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mage Calculator" sheetId="1" r:id="rId1"/>
    <sheet name="Credits" sheetId="2" r:id="rId2"/>
    <sheet name="Forecast DMG REDUC" sheetId="3" state="hidden" r:id="rId3"/>
    <sheet name="DMG REDUC (data mined)" sheetId="4" r:id="rId4"/>
    <sheet name="DMG REDUC (s3phy)" sheetId="5" state="hidden" r:id="rId5"/>
    <sheet name="Damage Formula" sheetId="6" state="hidden" r:id="rId6"/>
    <sheet name="Change Lo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Ve4wvcEkSU+znZC8myypbdm2isigFQ0BlzSzgu0WERU="/>
    </ext>
  </extLst>
</workbook>
</file>

<file path=xl/calcChain.xml><?xml version="1.0" encoding="utf-8"?>
<calcChain xmlns="http://schemas.openxmlformats.org/spreadsheetml/2006/main">
  <c r="B16" i="1" l="1"/>
  <c r="B15" i="1" s="1"/>
  <c r="N3" i="1"/>
  <c r="D18" i="1"/>
  <c r="D16" i="1"/>
  <c r="G20" i="1"/>
  <c r="G23" i="1"/>
  <c r="G22" i="1"/>
  <c r="N10" i="1"/>
  <c r="N9" i="1"/>
  <c r="N8" i="1"/>
  <c r="N6" i="1"/>
  <c r="N7" i="1" s="1"/>
  <c r="N5" i="1"/>
  <c r="N4" i="1"/>
  <c r="G8" i="5"/>
  <c r="G6" i="5"/>
  <c r="G5" i="5"/>
  <c r="B5" i="5"/>
  <c r="C4" i="5"/>
  <c r="C3" i="5"/>
  <c r="A253" i="4"/>
  <c r="A254" i="4" s="1"/>
  <c r="A255" i="4" s="1"/>
  <c r="A256" i="4" s="1"/>
  <c r="Q252" i="4"/>
  <c r="F2" i="4"/>
  <c r="O2" i="4" s="1"/>
  <c r="E2" i="4"/>
  <c r="G21" i="1"/>
  <c r="N2" i="1"/>
  <c r="C314" i="3"/>
  <c r="C311" i="3"/>
  <c r="C308" i="3"/>
  <c r="C305" i="3"/>
  <c r="C297" i="3"/>
  <c r="C289" i="3"/>
  <c r="C281" i="3"/>
  <c r="C273" i="3"/>
  <c r="C265" i="3"/>
  <c r="C257" i="3"/>
  <c r="C301" i="3"/>
  <c r="C293" i="3"/>
  <c r="C285" i="3"/>
  <c r="C277" i="3"/>
  <c r="C269" i="3"/>
  <c r="C261" i="3"/>
  <c r="C253" i="3"/>
  <c r="C309" i="3"/>
  <c r="C306" i="3"/>
  <c r="C298" i="3"/>
  <c r="C290" i="3"/>
  <c r="C312" i="3"/>
  <c r="C307" i="3"/>
  <c r="C294" i="3"/>
  <c r="C286" i="3"/>
  <c r="C282" i="3"/>
  <c r="C275" i="3"/>
  <c r="C268" i="3"/>
  <c r="C260" i="3"/>
  <c r="C310" i="3"/>
  <c r="C270" i="3"/>
  <c r="C263" i="3"/>
  <c r="C256" i="3"/>
  <c r="C292" i="3"/>
  <c r="C288" i="3"/>
  <c r="C284" i="3"/>
  <c r="C266" i="3"/>
  <c r="C252" i="3"/>
  <c r="C302" i="3"/>
  <c r="C278" i="3"/>
  <c r="C271" i="3"/>
  <c r="C264" i="3"/>
  <c r="C274" i="3"/>
  <c r="C259" i="3"/>
  <c r="C303" i="3"/>
  <c r="C279" i="3"/>
  <c r="C272" i="3"/>
  <c r="C254" i="3"/>
  <c r="C267" i="3"/>
  <c r="C313" i="3"/>
  <c r="C300" i="3"/>
  <c r="C296" i="3"/>
  <c r="C280" i="3"/>
  <c r="C262" i="3"/>
  <c r="C255" i="3"/>
  <c r="C304" i="3"/>
  <c r="C295" i="3"/>
  <c r="C291" i="3"/>
  <c r="C287" i="3"/>
  <c r="C283" i="3"/>
  <c r="C276" i="3"/>
  <c r="C258" i="3"/>
  <c r="C299" i="3"/>
  <c r="L35" i="1" l="1"/>
  <c r="L36" i="1" s="1"/>
  <c r="F42" i="1"/>
  <c r="L32" i="1"/>
  <c r="B42" i="1"/>
  <c r="A257" i="4"/>
  <c r="F39" i="1"/>
  <c r="B39" i="1"/>
  <c r="Q253" i="4"/>
  <c r="C5" i="5"/>
  <c r="B6" i="5"/>
  <c r="E299" i="3"/>
  <c r="E287" i="3"/>
  <c r="E255" i="3"/>
  <c r="E300" i="3"/>
  <c r="E272" i="3"/>
  <c r="D274" i="3"/>
  <c r="D302" i="3"/>
  <c r="D288" i="3"/>
  <c r="D270" i="3"/>
  <c r="E275" i="3"/>
  <c r="E307" i="3"/>
  <c r="D306" i="3"/>
  <c r="E269" i="3"/>
  <c r="D301" i="3"/>
  <c r="E281" i="3"/>
  <c r="E308" i="3"/>
  <c r="D299" i="3"/>
  <c r="D287" i="3"/>
  <c r="D255" i="3"/>
  <c r="D300" i="3"/>
  <c r="D272" i="3"/>
  <c r="E274" i="3"/>
  <c r="E302" i="3"/>
  <c r="E288" i="3"/>
  <c r="E270" i="3"/>
  <c r="D275" i="3"/>
  <c r="D307" i="3"/>
  <c r="E306" i="3"/>
  <c r="D269" i="3"/>
  <c r="E301" i="3"/>
  <c r="D281" i="3"/>
  <c r="D308" i="3"/>
  <c r="D258" i="3"/>
  <c r="E291" i="3"/>
  <c r="D262" i="3"/>
  <c r="E313" i="3"/>
  <c r="E279" i="3"/>
  <c r="D264" i="3"/>
  <c r="E252" i="3"/>
  <c r="E292" i="3"/>
  <c r="E310" i="3"/>
  <c r="D282" i="3"/>
  <c r="E312" i="3"/>
  <c r="D309" i="3"/>
  <c r="E277" i="3"/>
  <c r="D257" i="3"/>
  <c r="E289" i="3"/>
  <c r="D311" i="3"/>
  <c r="E258" i="3"/>
  <c r="D291" i="3"/>
  <c r="E262" i="3"/>
  <c r="D313" i="3"/>
  <c r="D279" i="3"/>
  <c r="E264" i="3"/>
  <c r="D252" i="3"/>
  <c r="D292" i="3"/>
  <c r="D310" i="3"/>
  <c r="E282" i="3"/>
  <c r="D312" i="3"/>
  <c r="E309" i="3"/>
  <c r="D277" i="3"/>
  <c r="E257" i="3"/>
  <c r="D289" i="3"/>
  <c r="E311" i="3"/>
  <c r="E276" i="3"/>
  <c r="E295" i="3"/>
  <c r="E280" i="3"/>
  <c r="E267" i="3"/>
  <c r="E303" i="3"/>
  <c r="E271" i="3"/>
  <c r="D266" i="3"/>
  <c r="E256" i="3"/>
  <c r="E260" i="3"/>
  <c r="D286" i="3"/>
  <c r="D290" i="3"/>
  <c r="E253" i="3"/>
  <c r="D285" i="3"/>
  <c r="E265" i="3"/>
  <c r="E297" i="3"/>
  <c r="E314" i="3"/>
  <c r="D276" i="3"/>
  <c r="D295" i="3"/>
  <c r="D280" i="3"/>
  <c r="D267" i="3"/>
  <c r="D303" i="3"/>
  <c r="D271" i="3"/>
  <c r="E266" i="3"/>
  <c r="D256" i="3"/>
  <c r="D260" i="3"/>
  <c r="E286" i="3"/>
  <c r="E290" i="3"/>
  <c r="D253" i="3"/>
  <c r="E285" i="3"/>
  <c r="D265" i="3"/>
  <c r="D297" i="3"/>
  <c r="D314" i="3"/>
  <c r="E283" i="3"/>
  <c r="E304" i="3"/>
  <c r="E296" i="3"/>
  <c r="D254" i="3"/>
  <c r="E259" i="3"/>
  <c r="D278" i="3"/>
  <c r="E284" i="3"/>
  <c r="E263" i="3"/>
  <c r="E268" i="3"/>
  <c r="D294" i="3"/>
  <c r="D298" i="3"/>
  <c r="D261" i="3"/>
  <c r="D293" i="3"/>
  <c r="E273" i="3"/>
  <c r="E305" i="3"/>
  <c r="D283" i="3"/>
  <c r="D304" i="3"/>
  <c r="D296" i="3"/>
  <c r="E254" i="3"/>
  <c r="D259" i="3"/>
  <c r="E278" i="3"/>
  <c r="D284" i="3"/>
  <c r="D263" i="3"/>
  <c r="D268" i="3"/>
  <c r="E294" i="3"/>
  <c r="E298" i="3"/>
  <c r="E261" i="3"/>
  <c r="E293" i="3"/>
  <c r="D273" i="3"/>
  <c r="D305" i="3"/>
  <c r="L33" i="1" l="1"/>
  <c r="N33" i="1"/>
  <c r="N34" i="1" s="1"/>
  <c r="Q254" i="4"/>
  <c r="V253" i="4"/>
  <c r="U253" i="4" s="1"/>
  <c r="N36" i="1"/>
  <c r="N38" i="1" s="1"/>
  <c r="M36" i="1"/>
  <c r="M38" i="1" s="1"/>
  <c r="V197" i="4"/>
  <c r="U197" i="4" s="1"/>
  <c r="S130" i="4"/>
  <c r="R130" i="4" s="1"/>
  <c r="S52" i="4"/>
  <c r="R52" i="4" s="1"/>
  <c r="S84" i="4"/>
  <c r="R84" i="4" s="1"/>
  <c r="G39" i="1"/>
  <c r="M33" i="1"/>
  <c r="M34" i="1" s="1"/>
  <c r="L34" i="1"/>
  <c r="F40" i="1"/>
  <c r="B40" i="1"/>
  <c r="A258" i="4"/>
  <c r="S144" i="4"/>
  <c r="R144" i="4" s="1"/>
  <c r="V66" i="4"/>
  <c r="U66" i="4" s="1"/>
  <c r="V23" i="4"/>
  <c r="U23" i="4" s="1"/>
  <c r="V22" i="4"/>
  <c r="U22" i="4" s="1"/>
  <c r="V88" i="4"/>
  <c r="U88" i="4" s="1"/>
  <c r="V86" i="4"/>
  <c r="U86" i="4" s="1"/>
  <c r="V54" i="4"/>
  <c r="U54" i="4" s="1"/>
  <c r="S36" i="4"/>
  <c r="R36" i="4" s="1"/>
  <c r="S10" i="4"/>
  <c r="R10" i="4" s="1"/>
  <c r="V32" i="4"/>
  <c r="U32" i="4" s="1"/>
  <c r="V30" i="4"/>
  <c r="U30" i="4" s="1"/>
  <c r="V16" i="4"/>
  <c r="U16" i="4" s="1"/>
  <c r="V5" i="4"/>
  <c r="U5" i="4" s="1"/>
  <c r="V50" i="4"/>
  <c r="U50" i="4" s="1"/>
  <c r="V29" i="4"/>
  <c r="U29" i="4" s="1"/>
  <c r="V176" i="4"/>
  <c r="U176" i="4" s="1"/>
  <c r="S74" i="4"/>
  <c r="R74" i="4" s="1"/>
  <c r="V62" i="4"/>
  <c r="U62" i="4" s="1"/>
  <c r="S42" i="4"/>
  <c r="R42" i="4" s="1"/>
  <c r="V21" i="4"/>
  <c r="U21" i="4" s="1"/>
  <c r="V14" i="4"/>
  <c r="U14" i="4" s="1"/>
  <c r="V8" i="4"/>
  <c r="U8" i="4" s="1"/>
  <c r="S4" i="4"/>
  <c r="R4" i="4" s="1"/>
  <c r="V169" i="4"/>
  <c r="U169" i="4" s="1"/>
  <c r="V82" i="4"/>
  <c r="U82" i="4" s="1"/>
  <c r="S62" i="4"/>
  <c r="R62" i="4" s="1"/>
  <c r="V11" i="4"/>
  <c r="U11" i="4" s="1"/>
  <c r="V53" i="4"/>
  <c r="U53" i="4" s="1"/>
  <c r="S124" i="4"/>
  <c r="R124" i="4" s="1"/>
  <c r="V24" i="4"/>
  <c r="U24" i="4" s="1"/>
  <c r="S166" i="4"/>
  <c r="R166" i="4" s="1"/>
  <c r="S241" i="4"/>
  <c r="R241" i="4" s="1"/>
  <c r="S217" i="4"/>
  <c r="R217" i="4" s="1"/>
  <c r="S116" i="4"/>
  <c r="R116" i="4" s="1"/>
  <c r="C6" i="5"/>
  <c r="B7" i="5"/>
  <c r="S253" i="4"/>
  <c r="R253" i="4" s="1"/>
  <c r="V40" i="4"/>
  <c r="U40" i="4" s="1"/>
  <c r="V72" i="4"/>
  <c r="U72" i="4" s="1"/>
  <c r="V20" i="4"/>
  <c r="U20" i="4" s="1"/>
  <c r="V57" i="4"/>
  <c r="U57" i="4" s="1"/>
  <c r="S129" i="4"/>
  <c r="R129" i="4" s="1"/>
  <c r="S28" i="4"/>
  <c r="R28" i="4" s="1"/>
  <c r="V172" i="4"/>
  <c r="U172" i="4" s="1"/>
  <c r="S114" i="4"/>
  <c r="R114" i="4" s="1"/>
  <c r="V227" i="4"/>
  <c r="U227" i="4" s="1"/>
  <c r="S72" i="4"/>
  <c r="R72" i="4" s="1"/>
  <c r="S121" i="4"/>
  <c r="R121" i="4" s="1"/>
  <c r="G42" i="1"/>
  <c r="B41" i="1" l="1"/>
  <c r="G40" i="1"/>
  <c r="F41" i="1"/>
  <c r="L38" i="1"/>
  <c r="A259" i="4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V246" i="4"/>
  <c r="U246" i="4" s="1"/>
  <c r="S58" i="4"/>
  <c r="R58" i="4" s="1"/>
  <c r="V6" i="4"/>
  <c r="U6" i="4" s="1"/>
  <c r="V221" i="4"/>
  <c r="U221" i="4" s="1"/>
  <c r="S3" i="4"/>
  <c r="R3" i="4" s="1"/>
  <c r="S233" i="4"/>
  <c r="R233" i="4" s="1"/>
  <c r="V138" i="4"/>
  <c r="U138" i="4" s="1"/>
  <c r="S247" i="4"/>
  <c r="R247" i="4" s="1"/>
  <c r="V94" i="4"/>
  <c r="U94" i="4" s="1"/>
  <c r="V186" i="4"/>
  <c r="U186" i="4" s="1"/>
  <c r="S250" i="4"/>
  <c r="R250" i="4" s="1"/>
  <c r="S234" i="4"/>
  <c r="R234" i="4" s="1"/>
  <c r="S218" i="4"/>
  <c r="R218" i="4" s="1"/>
  <c r="S202" i="4"/>
  <c r="R202" i="4" s="1"/>
  <c r="S186" i="4"/>
  <c r="R186" i="4" s="1"/>
  <c r="V201" i="4"/>
  <c r="U201" i="4" s="1"/>
  <c r="S173" i="4"/>
  <c r="R173" i="4" s="1"/>
  <c r="S157" i="4"/>
  <c r="R157" i="4" s="1"/>
  <c r="S141" i="4"/>
  <c r="R141" i="4" s="1"/>
  <c r="S227" i="4"/>
  <c r="R227" i="4" s="1"/>
  <c r="S183" i="4"/>
  <c r="R183" i="4" s="1"/>
  <c r="V231" i="4"/>
  <c r="U231" i="4" s="1"/>
  <c r="S154" i="4"/>
  <c r="R154" i="4" s="1"/>
  <c r="V125" i="4"/>
  <c r="U125" i="4" s="1"/>
  <c r="V109" i="4"/>
  <c r="U109" i="4" s="1"/>
  <c r="V93" i="4"/>
  <c r="U93" i="4" s="1"/>
  <c r="S252" i="4"/>
  <c r="R252" i="4" s="1"/>
  <c r="V184" i="4"/>
  <c r="U184" i="4" s="1"/>
  <c r="V160" i="4"/>
  <c r="U160" i="4" s="1"/>
  <c r="V209" i="4"/>
  <c r="U209" i="4" s="1"/>
  <c r="S164" i="4"/>
  <c r="R164" i="4" s="1"/>
  <c r="V96" i="4"/>
  <c r="U96" i="4" s="1"/>
  <c r="V145" i="4"/>
  <c r="U145" i="4" s="1"/>
  <c r="S117" i="4"/>
  <c r="R117" i="4" s="1"/>
  <c r="S83" i="4"/>
  <c r="R83" i="4" s="1"/>
  <c r="S67" i="4"/>
  <c r="R67" i="4" s="1"/>
  <c r="S51" i="4"/>
  <c r="R51" i="4" s="1"/>
  <c r="S35" i="4"/>
  <c r="R35" i="4" s="1"/>
  <c r="S19" i="4"/>
  <c r="R19" i="4" s="1"/>
  <c r="S174" i="4"/>
  <c r="R174" i="4" s="1"/>
  <c r="S105" i="4"/>
  <c r="R105" i="4" s="1"/>
  <c r="S231" i="4"/>
  <c r="R231" i="4" s="1"/>
  <c r="V164" i="4"/>
  <c r="U164" i="4" s="1"/>
  <c r="S97" i="4"/>
  <c r="R97" i="4" s="1"/>
  <c r="V35" i="4"/>
  <c r="U35" i="4" s="1"/>
  <c r="V67" i="4"/>
  <c r="U67" i="4" s="1"/>
  <c r="V120" i="4"/>
  <c r="U120" i="4" s="1"/>
  <c r="V243" i="4"/>
  <c r="U243" i="4" s="1"/>
  <c r="S200" i="4"/>
  <c r="R200" i="4" s="1"/>
  <c r="S184" i="4"/>
  <c r="R184" i="4" s="1"/>
  <c r="V248" i="4"/>
  <c r="U248" i="4" s="1"/>
  <c r="S197" i="4"/>
  <c r="R197" i="4" s="1"/>
  <c r="S171" i="4"/>
  <c r="R171" i="4" s="1"/>
  <c r="S155" i="4"/>
  <c r="R155" i="4" s="1"/>
  <c r="S139" i="4"/>
  <c r="R139" i="4" s="1"/>
  <c r="V219" i="4"/>
  <c r="U219" i="4" s="1"/>
  <c r="S225" i="4"/>
  <c r="R225" i="4" s="1"/>
  <c r="V149" i="4"/>
  <c r="U149" i="4" s="1"/>
  <c r="V123" i="4"/>
  <c r="U123" i="4" s="1"/>
  <c r="V107" i="4"/>
  <c r="U107" i="4" s="1"/>
  <c r="V91" i="4"/>
  <c r="U91" i="4" s="1"/>
  <c r="V247" i="4"/>
  <c r="U247" i="4" s="1"/>
  <c r="V181" i="4"/>
  <c r="U181" i="4" s="1"/>
  <c r="S156" i="4"/>
  <c r="R156" i="4" s="1"/>
  <c r="V199" i="4"/>
  <c r="U199" i="4" s="1"/>
  <c r="S152" i="4"/>
  <c r="R152" i="4" s="1"/>
  <c r="S92" i="4"/>
  <c r="R92" i="4" s="1"/>
  <c r="S142" i="4"/>
  <c r="R142" i="4" s="1"/>
  <c r="V114" i="4"/>
  <c r="U114" i="4" s="1"/>
  <c r="S81" i="4"/>
  <c r="R81" i="4" s="1"/>
  <c r="S65" i="4"/>
  <c r="R65" i="4" s="1"/>
  <c r="S49" i="4"/>
  <c r="R49" i="4" s="1"/>
  <c r="S33" i="4"/>
  <c r="R33" i="4" s="1"/>
  <c r="S17" i="4"/>
  <c r="R17" i="4" s="1"/>
  <c r="V228" i="4"/>
  <c r="U228" i="4" s="1"/>
  <c r="S170" i="4"/>
  <c r="R170" i="4" s="1"/>
  <c r="V100" i="4"/>
  <c r="U100" i="4" s="1"/>
  <c r="V225" i="4"/>
  <c r="U225" i="4" s="1"/>
  <c r="V155" i="4"/>
  <c r="U155" i="4" s="1"/>
  <c r="V92" i="4"/>
  <c r="U92" i="4" s="1"/>
  <c r="V39" i="4"/>
  <c r="U39" i="4" s="1"/>
  <c r="V71" i="4"/>
  <c r="U71" i="4" s="1"/>
  <c r="S126" i="4"/>
  <c r="R126" i="4" s="1"/>
  <c r="V151" i="4"/>
  <c r="U151" i="4" s="1"/>
  <c r="V241" i="4"/>
  <c r="U241" i="4" s="1"/>
  <c r="V148" i="4"/>
  <c r="U148" i="4" s="1"/>
  <c r="S2" i="4"/>
  <c r="R2" i="4" s="1"/>
  <c r="S133" i="4"/>
  <c r="R133" i="4" s="1"/>
  <c r="S79" i="4"/>
  <c r="R79" i="4" s="1"/>
  <c r="S63" i="4"/>
  <c r="R63" i="4" s="1"/>
  <c r="S31" i="4"/>
  <c r="R31" i="4" s="1"/>
  <c r="S15" i="4"/>
  <c r="R15" i="4" s="1"/>
  <c r="S223" i="4"/>
  <c r="R223" i="4" s="1"/>
  <c r="S96" i="4"/>
  <c r="R96" i="4" s="1"/>
  <c r="V220" i="4"/>
  <c r="U220" i="4" s="1"/>
  <c r="S88" i="4"/>
  <c r="R88" i="4" s="1"/>
  <c r="V43" i="4"/>
  <c r="U43" i="4" s="1"/>
  <c r="V75" i="4"/>
  <c r="U75" i="4" s="1"/>
  <c r="V38" i="4"/>
  <c r="U38" i="4" s="1"/>
  <c r="F4" i="4"/>
  <c r="E4" i="4" s="1"/>
  <c r="E5" i="4" s="1"/>
  <c r="B13" i="1" s="1"/>
  <c r="L41" i="1" s="1"/>
  <c r="S107" i="4"/>
  <c r="R107" i="4" s="1"/>
  <c r="S193" i="4"/>
  <c r="R193" i="4" s="1"/>
  <c r="V68" i="4"/>
  <c r="U68" i="4" s="1"/>
  <c r="V36" i="4"/>
  <c r="U36" i="4" s="1"/>
  <c r="V9" i="4"/>
  <c r="U9" i="4" s="1"/>
  <c r="V78" i="4"/>
  <c r="U78" i="4" s="1"/>
  <c r="V18" i="4"/>
  <c r="U18" i="4" s="1"/>
  <c r="V7" i="4"/>
  <c r="U7" i="4" s="1"/>
  <c r="S98" i="4"/>
  <c r="R98" i="4" s="1"/>
  <c r="V150" i="4"/>
  <c r="U150" i="4" s="1"/>
  <c r="S99" i="4"/>
  <c r="R99" i="4" s="1"/>
  <c r="V195" i="4"/>
  <c r="U195" i="4" s="1"/>
  <c r="S248" i="4"/>
  <c r="R248" i="4" s="1"/>
  <c r="S232" i="4"/>
  <c r="R232" i="4" s="1"/>
  <c r="S216" i="4"/>
  <c r="R216" i="4" s="1"/>
  <c r="S196" i="4"/>
  <c r="R196" i="4" s="1"/>
  <c r="V232" i="4"/>
  <c r="U232" i="4" s="1"/>
  <c r="V185" i="4"/>
  <c r="U185" i="4" s="1"/>
  <c r="S167" i="4"/>
  <c r="R167" i="4" s="1"/>
  <c r="S135" i="4"/>
  <c r="R135" i="4" s="1"/>
  <c r="V245" i="4"/>
  <c r="U245" i="4" s="1"/>
  <c r="V215" i="4"/>
  <c r="U215" i="4" s="1"/>
  <c r="S138" i="4"/>
  <c r="R138" i="4" s="1"/>
  <c r="V103" i="4"/>
  <c r="U103" i="4" s="1"/>
  <c r="V87" i="4"/>
  <c r="U87" i="4" s="1"/>
  <c r="S176" i="4"/>
  <c r="R176" i="4" s="1"/>
  <c r="V144" i="4"/>
  <c r="U144" i="4" s="1"/>
  <c r="V139" i="4"/>
  <c r="U139" i="4" s="1"/>
  <c r="V130" i="4"/>
  <c r="U130" i="4" s="1"/>
  <c r="S61" i="4"/>
  <c r="R61" i="4" s="1"/>
  <c r="S29" i="4"/>
  <c r="R29" i="4" s="1"/>
  <c r="V163" i="4"/>
  <c r="U163" i="4" s="1"/>
  <c r="S211" i="4"/>
  <c r="R211" i="4" s="1"/>
  <c r="V12" i="4"/>
  <c r="U12" i="4" s="1"/>
  <c r="V161" i="4"/>
  <c r="U161" i="4" s="1"/>
  <c r="V182" i="4"/>
  <c r="U182" i="4" s="1"/>
  <c r="S148" i="4"/>
  <c r="R148" i="4" s="1"/>
  <c r="S113" i="4"/>
  <c r="R113" i="4" s="1"/>
  <c r="V191" i="4"/>
  <c r="U191" i="4" s="1"/>
  <c r="S111" i="4"/>
  <c r="R111" i="4" s="1"/>
  <c r="S64" i="4"/>
  <c r="R64" i="4" s="1"/>
  <c r="V207" i="4"/>
  <c r="U207" i="4" s="1"/>
  <c r="S239" i="4"/>
  <c r="R239" i="4" s="1"/>
  <c r="V159" i="4"/>
  <c r="U159" i="4" s="1"/>
  <c r="V15" i="4"/>
  <c r="U15" i="4" s="1"/>
  <c r="V118" i="4"/>
  <c r="U118" i="4" s="1"/>
  <c r="V49" i="4"/>
  <c r="U49" i="4" s="1"/>
  <c r="S8" i="4"/>
  <c r="R8" i="4" s="1"/>
  <c r="V64" i="4"/>
  <c r="U64" i="4" s="1"/>
  <c r="V33" i="4"/>
  <c r="U33" i="4" s="1"/>
  <c r="S22" i="4"/>
  <c r="R22" i="4" s="1"/>
  <c r="S91" i="4"/>
  <c r="R91" i="4" s="1"/>
  <c r="V25" i="4"/>
  <c r="U25" i="4" s="1"/>
  <c r="V13" i="4"/>
  <c r="U13" i="4" s="1"/>
  <c r="V102" i="4"/>
  <c r="U102" i="4" s="1"/>
  <c r="V162" i="4"/>
  <c r="U162" i="4" s="1"/>
  <c r="S118" i="4"/>
  <c r="R118" i="4" s="1"/>
  <c r="S205" i="4"/>
  <c r="R205" i="4" s="1"/>
  <c r="S246" i="4"/>
  <c r="R246" i="4" s="1"/>
  <c r="S230" i="4"/>
  <c r="R230" i="4" s="1"/>
  <c r="S214" i="4"/>
  <c r="R214" i="4" s="1"/>
  <c r="S198" i="4"/>
  <c r="R198" i="4" s="1"/>
  <c r="S182" i="4"/>
  <c r="R182" i="4" s="1"/>
  <c r="V240" i="4"/>
  <c r="U240" i="4" s="1"/>
  <c r="V192" i="4"/>
  <c r="U192" i="4" s="1"/>
  <c r="S169" i="4"/>
  <c r="R169" i="4" s="1"/>
  <c r="S153" i="4"/>
  <c r="R153" i="4" s="1"/>
  <c r="S137" i="4"/>
  <c r="R137" i="4" s="1"/>
  <c r="S251" i="4"/>
  <c r="R251" i="4" s="1"/>
  <c r="S215" i="4"/>
  <c r="R215" i="4" s="1"/>
  <c r="V218" i="4"/>
  <c r="U218" i="4" s="1"/>
  <c r="V142" i="4"/>
  <c r="U142" i="4" s="1"/>
  <c r="V121" i="4"/>
  <c r="U121" i="4" s="1"/>
  <c r="V105" i="4"/>
  <c r="U105" i="4" s="1"/>
  <c r="V89" i="4"/>
  <c r="U89" i="4" s="1"/>
  <c r="V235" i="4"/>
  <c r="U235" i="4" s="1"/>
  <c r="V178" i="4"/>
  <c r="U178" i="4" s="1"/>
  <c r="S195" i="4"/>
  <c r="R195" i="4" s="1"/>
  <c r="S110" i="4"/>
  <c r="R110" i="4" s="1"/>
  <c r="S47" i="4"/>
  <c r="R47" i="4" s="1"/>
  <c r="V166" i="4"/>
  <c r="U166" i="4" s="1"/>
  <c r="V152" i="4"/>
  <c r="U152" i="4" s="1"/>
  <c r="S131" i="4"/>
  <c r="R131" i="4" s="1"/>
  <c r="S26" i="4"/>
  <c r="R26" i="4" s="1"/>
  <c r="V73" i="4"/>
  <c r="U73" i="4" s="1"/>
  <c r="S123" i="4"/>
  <c r="R123" i="4" s="1"/>
  <c r="V214" i="4"/>
  <c r="U214" i="4" s="1"/>
  <c r="S244" i="4"/>
  <c r="R244" i="4" s="1"/>
  <c r="S228" i="4"/>
  <c r="R228" i="4" s="1"/>
  <c r="S212" i="4"/>
  <c r="R212" i="4" s="1"/>
  <c r="V252" i="4"/>
  <c r="U252" i="4" s="1"/>
  <c r="S151" i="4"/>
  <c r="R151" i="4" s="1"/>
  <c r="V210" i="4"/>
  <c r="U210" i="4" s="1"/>
  <c r="V119" i="4"/>
  <c r="U119" i="4" s="1"/>
  <c r="S221" i="4"/>
  <c r="R221" i="4" s="1"/>
  <c r="S237" i="4"/>
  <c r="R237" i="4" s="1"/>
  <c r="S77" i="4"/>
  <c r="R77" i="4" s="1"/>
  <c r="V198" i="4"/>
  <c r="U198" i="4" s="1"/>
  <c r="V47" i="4"/>
  <c r="U47" i="4" s="1"/>
  <c r="S185" i="4"/>
  <c r="R185" i="4" s="1"/>
  <c r="S106" i="4"/>
  <c r="R106" i="4" s="1"/>
  <c r="S162" i="4"/>
  <c r="R162" i="4" s="1"/>
  <c r="V106" i="4"/>
  <c r="U106" i="4" s="1"/>
  <c r="S60" i="4"/>
  <c r="R60" i="4" s="1"/>
  <c r="V153" i="4"/>
  <c r="U153" i="4" s="1"/>
  <c r="V226" i="4"/>
  <c r="U226" i="4" s="1"/>
  <c r="V147" i="4"/>
  <c r="U147" i="4" s="1"/>
  <c r="S12" i="4"/>
  <c r="R12" i="4" s="1"/>
  <c r="S95" i="4"/>
  <c r="R95" i="4" s="1"/>
  <c r="V45" i="4"/>
  <c r="U45" i="4" s="1"/>
  <c r="V2" i="4"/>
  <c r="U2" i="4" s="1"/>
  <c r="V60" i="4"/>
  <c r="U60" i="4" s="1"/>
  <c r="S30" i="4"/>
  <c r="R30" i="4" s="1"/>
  <c r="V34" i="4"/>
  <c r="U34" i="4" s="1"/>
  <c r="V211" i="4"/>
  <c r="U211" i="4" s="1"/>
  <c r="S150" i="4"/>
  <c r="R150" i="4" s="1"/>
  <c r="S102" i="4"/>
  <c r="R102" i="4" s="1"/>
  <c r="S56" i="4"/>
  <c r="R56" i="4" s="1"/>
  <c r="V141" i="4"/>
  <c r="U141" i="4" s="1"/>
  <c r="S207" i="4"/>
  <c r="R207" i="4" s="1"/>
  <c r="S109" i="4"/>
  <c r="R109" i="4" s="1"/>
  <c r="V238" i="4"/>
  <c r="U238" i="4" s="1"/>
  <c r="V90" i="4"/>
  <c r="U90" i="4" s="1"/>
  <c r="V41" i="4"/>
  <c r="U41" i="4" s="1"/>
  <c r="V4" i="4"/>
  <c r="U4" i="4" s="1"/>
  <c r="V56" i="4"/>
  <c r="U56" i="4" s="1"/>
  <c r="V26" i="4"/>
  <c r="U26" i="4" s="1"/>
  <c r="V42" i="4"/>
  <c r="U42" i="4" s="1"/>
  <c r="V58" i="4"/>
  <c r="U58" i="4" s="1"/>
  <c r="S40" i="4"/>
  <c r="R40" i="4" s="1"/>
  <c r="V116" i="4"/>
  <c r="U116" i="4" s="1"/>
  <c r="V202" i="4"/>
  <c r="U202" i="4" s="1"/>
  <c r="V77" i="4"/>
  <c r="U77" i="4" s="1"/>
  <c r="V128" i="4"/>
  <c r="U128" i="4" s="1"/>
  <c r="V236" i="4"/>
  <c r="U236" i="4" s="1"/>
  <c r="S242" i="4"/>
  <c r="R242" i="4" s="1"/>
  <c r="S226" i="4"/>
  <c r="R226" i="4" s="1"/>
  <c r="S210" i="4"/>
  <c r="R210" i="4" s="1"/>
  <c r="S194" i="4"/>
  <c r="R194" i="4" s="1"/>
  <c r="V224" i="4"/>
  <c r="U224" i="4" s="1"/>
  <c r="S181" i="4"/>
  <c r="R181" i="4" s="1"/>
  <c r="S165" i="4"/>
  <c r="R165" i="4" s="1"/>
  <c r="S149" i="4"/>
  <c r="R149" i="4" s="1"/>
  <c r="S243" i="4"/>
  <c r="R243" i="4" s="1"/>
  <c r="V203" i="4"/>
  <c r="U203" i="4" s="1"/>
  <c r="V206" i="4"/>
  <c r="U206" i="4" s="1"/>
  <c r="V133" i="4"/>
  <c r="U133" i="4" s="1"/>
  <c r="V117" i="4"/>
  <c r="U117" i="4" s="1"/>
  <c r="V101" i="4"/>
  <c r="U101" i="4" s="1"/>
  <c r="S209" i="4"/>
  <c r="R209" i="4" s="1"/>
  <c r="V173" i="4"/>
  <c r="U173" i="4" s="1"/>
  <c r="S140" i="4"/>
  <c r="R140" i="4" s="1"/>
  <c r="V216" i="4"/>
  <c r="U216" i="4" s="1"/>
  <c r="S178" i="4"/>
  <c r="R178" i="4" s="1"/>
  <c r="V136" i="4"/>
  <c r="U136" i="4" s="1"/>
  <c r="S128" i="4"/>
  <c r="R128" i="4" s="1"/>
  <c r="V98" i="4"/>
  <c r="U98" i="4" s="1"/>
  <c r="S75" i="4"/>
  <c r="R75" i="4" s="1"/>
  <c r="S59" i="4"/>
  <c r="R59" i="4" s="1"/>
  <c r="S43" i="4"/>
  <c r="R43" i="4" s="1"/>
  <c r="S27" i="4"/>
  <c r="R27" i="4" s="1"/>
  <c r="S11" i="4"/>
  <c r="R11" i="4" s="1"/>
  <c r="S189" i="4"/>
  <c r="R189" i="4" s="1"/>
  <c r="S160" i="4"/>
  <c r="R160" i="4" s="1"/>
  <c r="V3" i="4"/>
  <c r="U3" i="4" s="1"/>
  <c r="V179" i="4"/>
  <c r="U179" i="4" s="1"/>
  <c r="V140" i="4"/>
  <c r="U140" i="4" s="1"/>
  <c r="S16" i="4"/>
  <c r="R16" i="4" s="1"/>
  <c r="V51" i="4"/>
  <c r="U51" i="4" s="1"/>
  <c r="V183" i="4"/>
  <c r="U183" i="4" s="1"/>
  <c r="V55" i="4"/>
  <c r="U55" i="4" s="1"/>
  <c r="V37" i="4"/>
  <c r="U37" i="4" s="1"/>
  <c r="V84" i="4"/>
  <c r="U84" i="4" s="1"/>
  <c r="V52" i="4"/>
  <c r="U52" i="4" s="1"/>
  <c r="V17" i="4"/>
  <c r="U17" i="4" s="1"/>
  <c r="S54" i="4"/>
  <c r="R54" i="4" s="1"/>
  <c r="S70" i="4"/>
  <c r="R70" i="4" s="1"/>
  <c r="S6" i="4"/>
  <c r="R6" i="4" s="1"/>
  <c r="S50" i="4"/>
  <c r="R50" i="4" s="1"/>
  <c r="S122" i="4"/>
  <c r="R122" i="4" s="1"/>
  <c r="V212" i="4"/>
  <c r="U212" i="4" s="1"/>
  <c r="V81" i="4"/>
  <c r="U81" i="4" s="1"/>
  <c r="S134" i="4"/>
  <c r="R134" i="4" s="1"/>
  <c r="S240" i="4"/>
  <c r="R240" i="4" s="1"/>
  <c r="S224" i="4"/>
  <c r="R224" i="4" s="1"/>
  <c r="S208" i="4"/>
  <c r="R208" i="4" s="1"/>
  <c r="S192" i="4"/>
  <c r="R192" i="4" s="1"/>
  <c r="V217" i="4"/>
  <c r="U217" i="4" s="1"/>
  <c r="S179" i="4"/>
  <c r="R179" i="4" s="1"/>
  <c r="S163" i="4"/>
  <c r="R163" i="4" s="1"/>
  <c r="S147" i="4"/>
  <c r="R147" i="4" s="1"/>
  <c r="V237" i="4"/>
  <c r="U237" i="4" s="1"/>
  <c r="S199" i="4"/>
  <c r="R199" i="4" s="1"/>
  <c r="V250" i="4"/>
  <c r="U250" i="4" s="1"/>
  <c r="S203" i="4"/>
  <c r="R203" i="4" s="1"/>
  <c r="V131" i="4"/>
  <c r="U131" i="4" s="1"/>
  <c r="V115" i="4"/>
  <c r="U115" i="4" s="1"/>
  <c r="V99" i="4"/>
  <c r="U99" i="4" s="1"/>
  <c r="V205" i="4"/>
  <c r="U205" i="4" s="1"/>
  <c r="V170" i="4"/>
  <c r="U170" i="4" s="1"/>
  <c r="V135" i="4"/>
  <c r="U135" i="4" s="1"/>
  <c r="V213" i="4"/>
  <c r="U213" i="4" s="1"/>
  <c r="V249" i="4"/>
  <c r="U249" i="4" s="1"/>
  <c r="V174" i="4"/>
  <c r="U174" i="4" s="1"/>
  <c r="V112" i="4"/>
  <c r="U112" i="4" s="1"/>
  <c r="S229" i="4"/>
  <c r="R229" i="4" s="1"/>
  <c r="S125" i="4"/>
  <c r="R125" i="4" s="1"/>
  <c r="S94" i="4"/>
  <c r="R94" i="4" s="1"/>
  <c r="S73" i="4"/>
  <c r="R73" i="4" s="1"/>
  <c r="S57" i="4"/>
  <c r="R57" i="4" s="1"/>
  <c r="S41" i="4"/>
  <c r="R41" i="4" s="1"/>
  <c r="S25" i="4"/>
  <c r="R25" i="4" s="1"/>
  <c r="P2" i="4"/>
  <c r="V19" i="4"/>
  <c r="U19" i="4" s="1"/>
  <c r="S132" i="4"/>
  <c r="R132" i="4" s="1"/>
  <c r="S80" i="4"/>
  <c r="R80" i="4" s="1"/>
  <c r="S48" i="4"/>
  <c r="R48" i="4" s="1"/>
  <c r="V124" i="4"/>
  <c r="U124" i="4" s="1"/>
  <c r="V188" i="4"/>
  <c r="U188" i="4" s="1"/>
  <c r="S100" i="4"/>
  <c r="R100" i="4" s="1"/>
  <c r="V146" i="4"/>
  <c r="U146" i="4" s="1"/>
  <c r="V65" i="4"/>
  <c r="U65" i="4" s="1"/>
  <c r="V27" i="4"/>
  <c r="U27" i="4" s="1"/>
  <c r="V80" i="4"/>
  <c r="U80" i="4" s="1"/>
  <c r="V48" i="4"/>
  <c r="U48" i="4" s="1"/>
  <c r="S14" i="4"/>
  <c r="R14" i="4" s="1"/>
  <c r="V74" i="4"/>
  <c r="U74" i="4" s="1"/>
  <c r="S18" i="4"/>
  <c r="R18" i="4" s="1"/>
  <c r="S93" i="4"/>
  <c r="R93" i="4" s="1"/>
  <c r="S38" i="4"/>
  <c r="R38" i="4" s="1"/>
  <c r="V70" i="4"/>
  <c r="U70" i="4" s="1"/>
  <c r="S127" i="4"/>
  <c r="R127" i="4" s="1"/>
  <c r="V222" i="4"/>
  <c r="U222" i="4" s="1"/>
  <c r="V85" i="4"/>
  <c r="U85" i="4" s="1"/>
  <c r="S146" i="4"/>
  <c r="R146" i="4" s="1"/>
  <c r="S238" i="4"/>
  <c r="R238" i="4" s="1"/>
  <c r="S222" i="4"/>
  <c r="R222" i="4" s="1"/>
  <c r="S206" i="4"/>
  <c r="R206" i="4" s="1"/>
  <c r="S190" i="4"/>
  <c r="R190" i="4" s="1"/>
  <c r="S213" i="4"/>
  <c r="R213" i="4" s="1"/>
  <c r="S177" i="4"/>
  <c r="R177" i="4" s="1"/>
  <c r="S161" i="4"/>
  <c r="R161" i="4" s="1"/>
  <c r="S145" i="4"/>
  <c r="R145" i="4" s="1"/>
  <c r="S235" i="4"/>
  <c r="R235" i="4" s="1"/>
  <c r="V194" i="4"/>
  <c r="U194" i="4" s="1"/>
  <c r="V242" i="4"/>
  <c r="U242" i="4" s="1"/>
  <c r="S249" i="4"/>
  <c r="R249" i="4" s="1"/>
  <c r="S191" i="4"/>
  <c r="R191" i="4" s="1"/>
  <c r="V129" i="4"/>
  <c r="U129" i="4" s="1"/>
  <c r="V113" i="4"/>
  <c r="U113" i="4" s="1"/>
  <c r="V97" i="4"/>
  <c r="U97" i="4" s="1"/>
  <c r="V196" i="4"/>
  <c r="U196" i="4" s="1"/>
  <c r="S168" i="4"/>
  <c r="R168" i="4" s="1"/>
  <c r="V204" i="4"/>
  <c r="U204" i="4" s="1"/>
  <c r="V223" i="4"/>
  <c r="U223" i="4" s="1"/>
  <c r="V171" i="4"/>
  <c r="U171" i="4" s="1"/>
  <c r="S108" i="4"/>
  <c r="R108" i="4" s="1"/>
  <c r="V157" i="4"/>
  <c r="U157" i="4" s="1"/>
  <c r="V122" i="4"/>
  <c r="U122" i="4" s="1"/>
  <c r="S87" i="4"/>
  <c r="R87" i="4" s="1"/>
  <c r="S71" i="4"/>
  <c r="R71" i="4" s="1"/>
  <c r="S55" i="4"/>
  <c r="R55" i="4" s="1"/>
  <c r="S39" i="4"/>
  <c r="R39" i="4" s="1"/>
  <c r="S23" i="4"/>
  <c r="R23" i="4" s="1"/>
  <c r="S7" i="4"/>
  <c r="R7" i="4" s="1"/>
  <c r="V180" i="4"/>
  <c r="U180" i="4" s="1"/>
  <c r="S136" i="4"/>
  <c r="R136" i="4" s="1"/>
  <c r="V251" i="4"/>
  <c r="U251" i="4" s="1"/>
  <c r="S172" i="4"/>
  <c r="R172" i="4" s="1"/>
  <c r="V108" i="4"/>
  <c r="U108" i="4" s="1"/>
  <c r="V28" i="4"/>
  <c r="U28" i="4" s="1"/>
  <c r="V59" i="4"/>
  <c r="U59" i="4" s="1"/>
  <c r="V110" i="4"/>
  <c r="U110" i="4" s="1"/>
  <c r="V200" i="4"/>
  <c r="U200" i="4" s="1"/>
  <c r="S245" i="4"/>
  <c r="R245" i="4" s="1"/>
  <c r="S188" i="4"/>
  <c r="R188" i="4" s="1"/>
  <c r="V208" i="4"/>
  <c r="U208" i="4" s="1"/>
  <c r="S175" i="4"/>
  <c r="R175" i="4" s="1"/>
  <c r="S159" i="4"/>
  <c r="R159" i="4" s="1"/>
  <c r="S143" i="4"/>
  <c r="R143" i="4" s="1"/>
  <c r="V229" i="4"/>
  <c r="U229" i="4" s="1"/>
  <c r="V187" i="4"/>
  <c r="U187" i="4" s="1"/>
  <c r="V234" i="4"/>
  <c r="U234" i="4" s="1"/>
  <c r="V239" i="4"/>
  <c r="U239" i="4" s="1"/>
  <c r="V158" i="4"/>
  <c r="U158" i="4" s="1"/>
  <c r="V127" i="4"/>
  <c r="U127" i="4" s="1"/>
  <c r="V111" i="4"/>
  <c r="U111" i="4" s="1"/>
  <c r="V95" i="4"/>
  <c r="U95" i="4" s="1"/>
  <c r="V193" i="4"/>
  <c r="U193" i="4" s="1"/>
  <c r="V165" i="4"/>
  <c r="U165" i="4" s="1"/>
  <c r="S201" i="4"/>
  <c r="R201" i="4" s="1"/>
  <c r="S219" i="4"/>
  <c r="R219" i="4" s="1"/>
  <c r="V167" i="4"/>
  <c r="U167" i="4" s="1"/>
  <c r="S101" i="4"/>
  <c r="R101" i="4" s="1"/>
  <c r="V154" i="4"/>
  <c r="U154" i="4" s="1"/>
  <c r="S120" i="4"/>
  <c r="R120" i="4" s="1"/>
  <c r="S85" i="4"/>
  <c r="R85" i="4" s="1"/>
  <c r="S69" i="4"/>
  <c r="R69" i="4" s="1"/>
  <c r="S53" i="4"/>
  <c r="R53" i="4" s="1"/>
  <c r="S37" i="4"/>
  <c r="R37" i="4" s="1"/>
  <c r="V126" i="4"/>
  <c r="U126" i="4" s="1"/>
  <c r="S76" i="4"/>
  <c r="R76" i="4" s="1"/>
  <c r="S44" i="4"/>
  <c r="R44" i="4" s="1"/>
  <c r="S119" i="4"/>
  <c r="R119" i="4" s="1"/>
  <c r="S180" i="4"/>
  <c r="R180" i="4" s="1"/>
  <c r="V31" i="4"/>
  <c r="U31" i="4" s="1"/>
  <c r="V134" i="4"/>
  <c r="U134" i="4" s="1"/>
  <c r="V61" i="4"/>
  <c r="U61" i="4" s="1"/>
  <c r="S24" i="4"/>
  <c r="R24" i="4" s="1"/>
  <c r="V76" i="4"/>
  <c r="U76" i="4" s="1"/>
  <c r="V44" i="4"/>
  <c r="U44" i="4" s="1"/>
  <c r="V10" i="4"/>
  <c r="U10" i="4" s="1"/>
  <c r="S86" i="4"/>
  <c r="R86" i="4" s="1"/>
  <c r="V46" i="4"/>
  <c r="U46" i="4" s="1"/>
  <c r="V156" i="4"/>
  <c r="U156" i="4" s="1"/>
  <c r="S82" i="4"/>
  <c r="R82" i="4" s="1"/>
  <c r="V132" i="4"/>
  <c r="U132" i="4" s="1"/>
  <c r="V233" i="4"/>
  <c r="U233" i="4" s="1"/>
  <c r="S90" i="4"/>
  <c r="R90" i="4" s="1"/>
  <c r="S158" i="4"/>
  <c r="R158" i="4" s="1"/>
  <c r="S236" i="4"/>
  <c r="R236" i="4" s="1"/>
  <c r="S220" i="4"/>
  <c r="R220" i="4" s="1"/>
  <c r="S204" i="4"/>
  <c r="R204" i="4" s="1"/>
  <c r="S21" i="4"/>
  <c r="R21" i="4" s="1"/>
  <c r="S5" i="4"/>
  <c r="R5" i="4" s="1"/>
  <c r="V177" i="4"/>
  <c r="U177" i="4" s="1"/>
  <c r="S112" i="4"/>
  <c r="R112" i="4" s="1"/>
  <c r="V244" i="4"/>
  <c r="U244" i="4" s="1"/>
  <c r="V168" i="4"/>
  <c r="U168" i="4" s="1"/>
  <c r="S104" i="4"/>
  <c r="R104" i="4" s="1"/>
  <c r="S32" i="4"/>
  <c r="R32" i="4" s="1"/>
  <c r="V63" i="4"/>
  <c r="U63" i="4" s="1"/>
  <c r="S115" i="4"/>
  <c r="R115" i="4" s="1"/>
  <c r="V230" i="4"/>
  <c r="U230" i="4" s="1"/>
  <c r="V189" i="4"/>
  <c r="U189" i="4" s="1"/>
  <c r="S103" i="4"/>
  <c r="R103" i="4" s="1"/>
  <c r="S45" i="4"/>
  <c r="R45" i="4" s="1"/>
  <c r="S13" i="4"/>
  <c r="R13" i="4" s="1"/>
  <c r="S89" i="4"/>
  <c r="R89" i="4" s="1"/>
  <c r="V143" i="4"/>
  <c r="U143" i="4" s="1"/>
  <c r="V79" i="4"/>
  <c r="U79" i="4" s="1"/>
  <c r="V83" i="4"/>
  <c r="U83" i="4" s="1"/>
  <c r="S9" i="4"/>
  <c r="R9" i="4" s="1"/>
  <c r="V175" i="4"/>
  <c r="U175" i="4" s="1"/>
  <c r="V190" i="4"/>
  <c r="U190" i="4" s="1"/>
  <c r="V104" i="4"/>
  <c r="U104" i="4" s="1"/>
  <c r="S68" i="4"/>
  <c r="R68" i="4" s="1"/>
  <c r="S20" i="4"/>
  <c r="R20" i="4" s="1"/>
  <c r="S34" i="4"/>
  <c r="R34" i="4" s="1"/>
  <c r="S66" i="4"/>
  <c r="R66" i="4" s="1"/>
  <c r="S46" i="4"/>
  <c r="R46" i="4" s="1"/>
  <c r="S187" i="4"/>
  <c r="R187" i="4" s="1"/>
  <c r="Q255" i="4"/>
  <c r="V254" i="4"/>
  <c r="U254" i="4" s="1"/>
  <c r="S254" i="4"/>
  <c r="R254" i="4" s="1"/>
  <c r="C7" i="5"/>
  <c r="B8" i="5"/>
  <c r="S78" i="4"/>
  <c r="R78" i="4" s="1"/>
  <c r="V69" i="4"/>
  <c r="U69" i="4" s="1"/>
  <c r="V137" i="4"/>
  <c r="U137" i="4" s="1"/>
  <c r="G41" i="1" l="1"/>
  <c r="L45" i="1"/>
  <c r="L42" i="1"/>
  <c r="L46" i="1" s="1"/>
  <c r="C8" i="5"/>
  <c r="B9" i="5"/>
  <c r="Q256" i="4"/>
  <c r="S255" i="4"/>
  <c r="R255" i="4" s="1"/>
  <c r="V255" i="4"/>
  <c r="U255" i="4" s="1"/>
  <c r="F43" i="1"/>
  <c r="B43" i="1"/>
  <c r="B44" i="1" s="1"/>
  <c r="L40" i="1"/>
  <c r="B46" i="1" l="1"/>
  <c r="B45" i="1"/>
  <c r="Q257" i="4"/>
  <c r="V256" i="4"/>
  <c r="U256" i="4" s="1"/>
  <c r="S256" i="4"/>
  <c r="R256" i="4" s="1"/>
  <c r="L44" i="1"/>
  <c r="M41" i="1"/>
  <c r="M42" i="1" s="1"/>
  <c r="N41" i="1"/>
  <c r="N42" i="1" s="1"/>
  <c r="C9" i="5"/>
  <c r="B10" i="5"/>
  <c r="G43" i="1"/>
  <c r="F44" i="1"/>
  <c r="F46" i="1" l="1"/>
  <c r="G46" i="1" s="1"/>
  <c r="G44" i="1"/>
  <c r="F45" i="1"/>
  <c r="G45" i="1" s="1"/>
  <c r="N45" i="1"/>
  <c r="N46" i="1" s="1"/>
  <c r="M45" i="1"/>
  <c r="M46" i="1" s="1"/>
  <c r="Q258" i="4"/>
  <c r="S257" i="4"/>
  <c r="R257" i="4" s="1"/>
  <c r="V257" i="4"/>
  <c r="U257" i="4" s="1"/>
  <c r="B11" i="5"/>
  <c r="C10" i="5"/>
  <c r="Q259" i="4" l="1"/>
  <c r="S258" i="4"/>
  <c r="R258" i="4" s="1"/>
  <c r="V258" i="4"/>
  <c r="U258" i="4" s="1"/>
  <c r="C11" i="5"/>
  <c r="B12" i="5"/>
  <c r="C12" i="5" l="1"/>
  <c r="B13" i="5"/>
  <c r="Q260" i="4"/>
  <c r="S259" i="4"/>
  <c r="R259" i="4" s="1"/>
  <c r="V259" i="4"/>
  <c r="U259" i="4" s="1"/>
  <c r="Q261" i="4" l="1"/>
  <c r="S260" i="4"/>
  <c r="R260" i="4" s="1"/>
  <c r="V260" i="4"/>
  <c r="U260" i="4" s="1"/>
  <c r="B14" i="5"/>
  <c r="C13" i="5"/>
  <c r="B15" i="5" l="1"/>
  <c r="C14" i="5"/>
  <c r="Q262" i="4"/>
  <c r="V261" i="4"/>
  <c r="U261" i="4" s="1"/>
  <c r="S261" i="4"/>
  <c r="R261" i="4" s="1"/>
  <c r="Q263" i="4" l="1"/>
  <c r="V262" i="4"/>
  <c r="U262" i="4" s="1"/>
  <c r="S262" i="4"/>
  <c r="R262" i="4" s="1"/>
  <c r="C15" i="5"/>
  <c r="B19" i="5"/>
  <c r="B20" i="5" l="1"/>
  <c r="C19" i="5"/>
  <c r="Q264" i="4"/>
  <c r="V263" i="4"/>
  <c r="U263" i="4" s="1"/>
  <c r="S263" i="4"/>
  <c r="R263" i="4" s="1"/>
  <c r="Q265" i="4" l="1"/>
  <c r="S264" i="4"/>
  <c r="R264" i="4" s="1"/>
  <c r="V264" i="4"/>
  <c r="U264" i="4" s="1"/>
  <c r="B21" i="5"/>
  <c r="C20" i="5"/>
  <c r="B22" i="5" l="1"/>
  <c r="C21" i="5"/>
  <c r="Q266" i="4"/>
  <c r="V265" i="4"/>
  <c r="U265" i="4" s="1"/>
  <c r="S265" i="4"/>
  <c r="R265" i="4" s="1"/>
  <c r="Q267" i="4" l="1"/>
  <c r="S266" i="4"/>
  <c r="R266" i="4" s="1"/>
  <c r="V266" i="4"/>
  <c r="U266" i="4" s="1"/>
  <c r="C22" i="5"/>
  <c r="B23" i="5"/>
  <c r="C23" i="5" l="1"/>
  <c r="B24" i="5"/>
  <c r="Q268" i="4"/>
  <c r="S267" i="4"/>
  <c r="R267" i="4" s="1"/>
  <c r="V267" i="4"/>
  <c r="U267" i="4" s="1"/>
  <c r="Q269" i="4" l="1"/>
  <c r="V268" i="4"/>
  <c r="U268" i="4" s="1"/>
  <c r="S268" i="4"/>
  <c r="R268" i="4" s="1"/>
  <c r="B25" i="5"/>
  <c r="C24" i="5"/>
  <c r="B26" i="5" l="1"/>
  <c r="C25" i="5"/>
  <c r="Q270" i="4"/>
  <c r="S269" i="4"/>
  <c r="R269" i="4" s="1"/>
  <c r="V269" i="4"/>
  <c r="U269" i="4" s="1"/>
  <c r="Q271" i="4" l="1"/>
  <c r="S270" i="4"/>
  <c r="R270" i="4" s="1"/>
  <c r="V270" i="4"/>
  <c r="U270" i="4" s="1"/>
  <c r="C26" i="5"/>
  <c r="B27" i="5"/>
  <c r="B28" i="5" l="1"/>
  <c r="C27" i="5"/>
  <c r="Q272" i="4"/>
  <c r="V271" i="4"/>
  <c r="U271" i="4" s="1"/>
  <c r="S271" i="4"/>
  <c r="R271" i="4" s="1"/>
  <c r="Q273" i="4" l="1"/>
  <c r="V272" i="4"/>
  <c r="U272" i="4" s="1"/>
  <c r="S272" i="4"/>
  <c r="R272" i="4" s="1"/>
  <c r="B29" i="5"/>
  <c r="C28" i="5"/>
  <c r="Q274" i="4" l="1"/>
  <c r="V273" i="4"/>
  <c r="U273" i="4" s="1"/>
  <c r="S273" i="4"/>
  <c r="R273" i="4" s="1"/>
  <c r="B30" i="5"/>
  <c r="C29" i="5"/>
  <c r="B31" i="5" l="1"/>
  <c r="C30" i="5"/>
  <c r="Q275" i="4"/>
  <c r="V274" i="4"/>
  <c r="U274" i="4" s="1"/>
  <c r="S274" i="4"/>
  <c r="R274" i="4" s="1"/>
  <c r="Q276" i="4" l="1"/>
  <c r="V275" i="4"/>
  <c r="U275" i="4" s="1"/>
  <c r="S275" i="4"/>
  <c r="R275" i="4" s="1"/>
  <c r="C31" i="5"/>
  <c r="B32" i="5"/>
  <c r="B34" i="5" l="1"/>
  <c r="C32" i="5"/>
  <c r="D32" i="5" s="1"/>
  <c r="G4" i="5"/>
  <c r="G3" i="5" s="1"/>
  <c r="D4" i="5" s="1"/>
  <c r="Q277" i="4"/>
  <c r="V276" i="4"/>
  <c r="U276" i="4" s="1"/>
  <c r="S276" i="4"/>
  <c r="R276" i="4" s="1"/>
  <c r="Q278" i="4" l="1"/>
  <c r="S277" i="4"/>
  <c r="R277" i="4" s="1"/>
  <c r="V277" i="4"/>
  <c r="U277" i="4" s="1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B35" i="5"/>
  <c r="C34" i="5"/>
  <c r="D34" i="5" s="1"/>
  <c r="G7" i="5" l="1"/>
  <c r="G9" i="5" s="1"/>
  <c r="N11" i="1" s="1"/>
  <c r="B36" i="5"/>
  <c r="C35" i="5"/>
  <c r="D35" i="5" s="1"/>
  <c r="Q279" i="4"/>
  <c r="S278" i="4"/>
  <c r="R278" i="4" s="1"/>
  <c r="V278" i="4"/>
  <c r="U278" i="4" s="1"/>
  <c r="Q280" i="4" l="1"/>
  <c r="S279" i="4"/>
  <c r="R279" i="4" s="1"/>
  <c r="V279" i="4"/>
  <c r="U279" i="4" s="1"/>
  <c r="B37" i="5"/>
  <c r="C37" i="5" s="1"/>
  <c r="D37" i="5" s="1"/>
  <c r="C36" i="5"/>
  <c r="D36" i="5" s="1"/>
  <c r="Q281" i="4" l="1"/>
  <c r="S280" i="4"/>
  <c r="R280" i="4" s="1"/>
  <c r="V280" i="4"/>
  <c r="U280" i="4" s="1"/>
  <c r="Q282" i="4" l="1"/>
  <c r="S281" i="4"/>
  <c r="R281" i="4" s="1"/>
  <c r="V281" i="4"/>
  <c r="U281" i="4" s="1"/>
  <c r="Q283" i="4" l="1"/>
  <c r="V282" i="4"/>
  <c r="U282" i="4" s="1"/>
  <c r="S282" i="4"/>
  <c r="R282" i="4" s="1"/>
  <c r="Q284" i="4" l="1"/>
  <c r="V283" i="4"/>
  <c r="U283" i="4" s="1"/>
  <c r="S283" i="4"/>
  <c r="R283" i="4" s="1"/>
  <c r="Q285" i="4" l="1"/>
  <c r="V284" i="4"/>
  <c r="U284" i="4" s="1"/>
  <c r="S284" i="4"/>
  <c r="R284" i="4" s="1"/>
  <c r="Q286" i="4" l="1"/>
  <c r="S285" i="4"/>
  <c r="R285" i="4" s="1"/>
  <c r="V285" i="4"/>
  <c r="U285" i="4" s="1"/>
  <c r="Q287" i="4" l="1"/>
  <c r="V286" i="4"/>
  <c r="U286" i="4" s="1"/>
  <c r="S286" i="4"/>
  <c r="R286" i="4" s="1"/>
  <c r="Q288" i="4" l="1"/>
  <c r="V287" i="4"/>
  <c r="U287" i="4" s="1"/>
  <c r="S287" i="4"/>
  <c r="R287" i="4" s="1"/>
  <c r="Q289" i="4" l="1"/>
  <c r="S288" i="4"/>
  <c r="R288" i="4" s="1"/>
  <c r="V288" i="4"/>
  <c r="U288" i="4" s="1"/>
  <c r="Q290" i="4" l="1"/>
  <c r="V289" i="4"/>
  <c r="U289" i="4" s="1"/>
  <c r="S289" i="4"/>
  <c r="R289" i="4" s="1"/>
  <c r="Q291" i="4" l="1"/>
  <c r="S290" i="4"/>
  <c r="R290" i="4" s="1"/>
  <c r="V290" i="4"/>
  <c r="U290" i="4" s="1"/>
  <c r="Q292" i="4" l="1"/>
  <c r="S291" i="4"/>
  <c r="R291" i="4" s="1"/>
  <c r="V291" i="4"/>
  <c r="U291" i="4" s="1"/>
  <c r="Q293" i="4" l="1"/>
  <c r="S292" i="4"/>
  <c r="R292" i="4" s="1"/>
  <c r="V292" i="4"/>
  <c r="U292" i="4" s="1"/>
  <c r="Q294" i="4" l="1"/>
  <c r="V293" i="4"/>
  <c r="U293" i="4" s="1"/>
  <c r="S293" i="4"/>
  <c r="R293" i="4" s="1"/>
  <c r="Q295" i="4" l="1"/>
  <c r="V294" i="4"/>
  <c r="U294" i="4" s="1"/>
  <c r="S294" i="4"/>
  <c r="R294" i="4" s="1"/>
  <c r="Q296" i="4" l="1"/>
  <c r="V295" i="4"/>
  <c r="U295" i="4" s="1"/>
  <c r="S295" i="4"/>
  <c r="R295" i="4" s="1"/>
  <c r="Q297" i="4" l="1"/>
  <c r="S296" i="4"/>
  <c r="R296" i="4" s="1"/>
  <c r="V296" i="4"/>
  <c r="U296" i="4" s="1"/>
  <c r="Q298" i="4" l="1"/>
  <c r="S297" i="4"/>
  <c r="R297" i="4" s="1"/>
  <c r="V297" i="4"/>
  <c r="U297" i="4" s="1"/>
  <c r="Q299" i="4" l="1"/>
  <c r="V298" i="4"/>
  <c r="U298" i="4" s="1"/>
  <c r="S298" i="4"/>
  <c r="R298" i="4" s="1"/>
  <c r="Q300" i="4" l="1"/>
  <c r="S299" i="4"/>
  <c r="R299" i="4" s="1"/>
  <c r="V299" i="4"/>
  <c r="U299" i="4" s="1"/>
  <c r="Q301" i="4" l="1"/>
  <c r="S300" i="4"/>
  <c r="R300" i="4" s="1"/>
  <c r="V300" i="4"/>
  <c r="U300" i="4" s="1"/>
  <c r="S301" i="4" l="1"/>
  <c r="R301" i="4" s="1"/>
  <c r="V301" i="4"/>
  <c r="U30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ID#AAABSr1438A
</t>
        </r>
        <r>
          <rPr>
            <sz val="10"/>
            <color rgb="FF000000"/>
            <rFont val="Arial"/>
            <family val="2"/>
          </rPr>
          <t xml:space="preserve">    (2024-07-03 12:27:01)
</t>
        </r>
        <r>
          <rPr>
            <sz val="10"/>
            <color rgb="FF000000"/>
            <rFont val="Arial"/>
            <family val="2"/>
          </rPr>
          <t xml:space="preserve">Max dmg used in calculations in 
</t>
        </r>
        <r>
          <rPr>
            <sz val="10"/>
            <color rgb="FF000000"/>
            <rFont val="Arial"/>
            <family val="2"/>
          </rPr>
          <t>cells with blue text</t>
        </r>
      </text>
    </comment>
    <comment ref="N11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ID#AAABSr1438I
</t>
        </r>
        <r>
          <rPr>
            <sz val="10"/>
            <color rgb="FF000000"/>
            <rFont val="Arial"/>
            <family val="2"/>
          </rPr>
          <t xml:space="preserve">S3ph    (2024-07-03 12:27:01)
</t>
        </r>
        <r>
          <rPr>
            <sz val="10"/>
            <color rgb="FF000000"/>
            <rFont val="Arial"/>
            <family val="2"/>
          </rPr>
          <t>(Level difference is interpolated linearly across the levels in batches of 10), using the 50% "penalty" at the same level and 0% "penalty" at level 1 as the two reference points which can be verified in game</t>
        </r>
      </text>
    </comment>
    <comment ref="B12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ID#AAABSr1438M
</t>
        </r>
        <r>
          <rPr>
            <sz val="10"/>
            <color rgb="FF000000"/>
            <rFont val="Arial"/>
            <family val="2"/>
          </rPr>
          <t xml:space="preserve">S3ph    (2024-07-03 12:27:01)
</t>
        </r>
        <r>
          <rPr>
            <sz val="10"/>
            <color rgb="FF000000"/>
            <rFont val="Arial"/>
            <family val="2"/>
          </rPr>
          <t xml:space="preserve">Lotus, GD, GHB = level 1,
</t>
        </r>
        <r>
          <rPr>
            <sz val="10"/>
            <color rgb="FF000000"/>
            <rFont val="Arial"/>
            <family val="2"/>
          </rPr>
          <t>Ark, Damien = level 200</t>
        </r>
      </text>
    </comment>
    <comment ref="A14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ID#AAABSr1438U
</t>
        </r>
        <r>
          <rPr>
            <sz val="10"/>
            <color rgb="FF000000"/>
            <rFont val="Arial"/>
            <family val="2"/>
          </rPr>
          <t xml:space="preserve">Seph    (2024-07-03 12:27:01)
</t>
        </r>
        <r>
          <rPr>
            <sz val="10"/>
            <color rgb="FF000000"/>
            <rFont val="Arial"/>
            <family val="2"/>
          </rPr>
          <t>Max 40% for current end game bosses, eg Lotus, Damien. 10% IED for Arkarium</t>
        </r>
      </text>
    </comment>
    <comment ref="A16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ID#AAABSr14374
</t>
        </r>
        <r>
          <rPr>
            <sz val="10"/>
            <color rgb="FF000000"/>
            <rFont val="Arial"/>
            <family val="2"/>
          </rPr>
          <t xml:space="preserve">    (2024-07-03 12:27:01)
</t>
        </r>
        <r>
          <rPr>
            <sz val="10"/>
            <color rgb="FF000000"/>
            <rFont val="Arial"/>
            <family val="2"/>
          </rPr>
          <t xml:space="preserve">Sources of IED are multiplied instead of adding
</t>
        </r>
        <r>
          <rPr>
            <sz val="10"/>
            <color rgb="FF000000"/>
            <rFont val="Arial"/>
            <family val="2"/>
          </rPr>
          <t>=1-(IED1)/100 * 1-(IED2)/100 * 1-(IEDn)/100^n</t>
        </r>
      </text>
    </comment>
    <comment ref="A2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ID#AAABSr1438E
S3ph    (2024-07-03 12:27:01)
Crit rate is not my main focus</t>
        </r>
      </text>
    </comment>
    <comment ref="M3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ID#AAABSr1438Q
S3ph    (2024-07-03 12:27:01)
Damage fluctuates between + and -5% of overall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UJ//L1eXUaWa8ZUmW/+EGjdcD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======
ID#AAABSr14378
    (2024-07-30 11:33:25)
Level difference in % points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jVzXMggq5OzBpkgiOh03n3Ucsvw=="/>
    </ext>
  </extLst>
</comments>
</file>

<file path=xl/sharedStrings.xml><?xml version="1.0" encoding="utf-8"?>
<sst xmlns="http://schemas.openxmlformats.org/spreadsheetml/2006/main" count="232" uniqueCount="193">
  <si>
    <t>Buffed stats calculator</t>
  </si>
  <si>
    <t>Phys Atk</t>
  </si>
  <si>
    <t>Advance Blessing</t>
  </si>
  <si>
    <t>Boss Atk food</t>
  </si>
  <si>
    <t>Phys/Mag Atk</t>
  </si>
  <si>
    <t>Phys/Mag Atk %</t>
  </si>
  <si>
    <t>Speed Infusion (Bucc buff)</t>
  </si>
  <si>
    <t>Phys/MA Atk food</t>
  </si>
  <si>
    <t>Phys/Mag Dmg %</t>
  </si>
  <si>
    <t>Unmanaged Anger (Hero buff)</t>
  </si>
  <si>
    <t>Candy Basket / Cane</t>
  </si>
  <si>
    <t>Boss Atk %</t>
  </si>
  <si>
    <t>Combat Orders (Pally buff)</t>
  </si>
  <si>
    <t>Chestnut</t>
  </si>
  <si>
    <t>Crit Rate %</t>
  </si>
  <si>
    <t>Call of the Wild (WH buff)</t>
  </si>
  <si>
    <t>Carrot Juice</t>
  </si>
  <si>
    <t>Crit Dmg %</t>
  </si>
  <si>
    <t>Evan buff</t>
  </si>
  <si>
    <t>Noodle Soup</t>
  </si>
  <si>
    <t>Crit rate max</t>
  </si>
  <si>
    <t>Skill %</t>
  </si>
  <si>
    <t>Lv 200 buff</t>
  </si>
  <si>
    <t>Jellyfish</t>
  </si>
  <si>
    <t>Final Dmg %</t>
  </si>
  <si>
    <t>Pork / Snail</t>
  </si>
  <si>
    <t>Max Dmg</t>
  </si>
  <si>
    <t>Party buffs. Please pick buffs which correspond and benefit with your class</t>
  </si>
  <si>
    <t>Boss Rush</t>
  </si>
  <si>
    <t>Current level</t>
  </si>
  <si>
    <t>Fever (maxed)</t>
  </si>
  <si>
    <t>S3 level modifier</t>
  </si>
  <si>
    <t>Monster level</t>
  </si>
  <si>
    <t>Food buffs</t>
  </si>
  <si>
    <t>Level modifier</t>
  </si>
  <si>
    <t>PA/MA Atk %</t>
  </si>
  <si>
    <t>Boss IED</t>
  </si>
  <si>
    <t>Final IED applied</t>
  </si>
  <si>
    <t>PD / MD%</t>
  </si>
  <si>
    <t>Total DIR (Def ignore rate) modifier</t>
  </si>
  <si>
    <t>Hyper skill</t>
  </si>
  <si>
    <t>Dir from stats page</t>
  </si>
  <si>
    <t>Node IED (1=yes)</t>
  </si>
  <si>
    <t>Mythic SW IED</t>
  </si>
  <si>
    <t>DS4 Active (1=yes)</t>
  </si>
  <si>
    <t>Hat IED</t>
  </si>
  <si>
    <t>Additional modifiers</t>
  </si>
  <si>
    <t>Buffed stats</t>
  </si>
  <si>
    <t>Outfit IED</t>
  </si>
  <si>
    <t>Glove IED</t>
  </si>
  <si>
    <t>Belt IED</t>
  </si>
  <si>
    <t>Shoe IED</t>
  </si>
  <si>
    <t>Monster Crit Res</t>
  </si>
  <si>
    <t>Shoulder IED</t>
  </si>
  <si>
    <r>
      <rPr>
        <b/>
        <sz val="9"/>
        <color rgb="FFFF0000"/>
        <rFont val="Arial"/>
        <family val="2"/>
      </rPr>
      <t>Input base stats here.</t>
    </r>
    <r>
      <rPr>
        <sz val="9"/>
        <color rgb="FFFF0000"/>
        <rFont val="Arial"/>
        <family val="2"/>
      </rPr>
      <t xml:space="preserve"> Exclude any food buffs &amp; party buffs. Include self buffs.</t>
    </r>
  </si>
  <si>
    <t>Cape IED</t>
  </si>
  <si>
    <t>NEW IED breakdown</t>
  </si>
  <si>
    <t>Stat equivalence</t>
  </si>
  <si>
    <t>Damage calculator</t>
  </si>
  <si>
    <t>Current Base Stats</t>
  </si>
  <si>
    <t>With chosen emblems / potentials</t>
  </si>
  <si>
    <t>Damage Output
Midpoint value</t>
  </si>
  <si>
    <t>Lowest Crit Damage (CD+0%)</t>
  </si>
  <si>
    <t>Highest Crit Damage (CD+50%)</t>
  </si>
  <si>
    <t>Non-Crit Line (Mobs)</t>
  </si>
  <si>
    <t>Crit Line (Mobs)</t>
  </si>
  <si>
    <t>PA/MA %</t>
  </si>
  <si>
    <t>Average Dmg (Mobs)</t>
  </si>
  <si>
    <t>PD/MD %</t>
  </si>
  <si>
    <t>Non-Crit Line (Boss)</t>
  </si>
  <si>
    <t>PA/ MA stat</t>
  </si>
  <si>
    <t>Crit Line (Boss)</t>
  </si>
  <si>
    <t>FD %</t>
  </si>
  <si>
    <t>Variance (New vs Old)</t>
  </si>
  <si>
    <t>Crit Line (Boss, cap)</t>
  </si>
  <si>
    <t>Level Difference modifier</t>
  </si>
  <si>
    <t>IED modifier</t>
  </si>
  <si>
    <t>Average Dmg (Boss)</t>
  </si>
  <si>
    <t>Crit Line (Boss) Post IED</t>
  </si>
  <si>
    <t>Credits</t>
  </si>
  <si>
    <t>Paulpork</t>
  </si>
  <si>
    <t>For Dmg Formula</t>
  </si>
  <si>
    <t>櫻櫻美代套子</t>
  </si>
  <si>
    <t>For the initial buffed stats calculator</t>
  </si>
  <si>
    <t>KaitouKiddo</t>
  </si>
  <si>
    <t>For the initial dmg + emblem calculator</t>
  </si>
  <si>
    <t>殘風⎝( OωO)⎠</t>
  </si>
  <si>
    <t>For Crit Rate + Cap tests</t>
  </si>
  <si>
    <t>Whaku</t>
  </si>
  <si>
    <r>
      <rPr>
        <sz val="10"/>
        <rFont val="Arial"/>
        <family val="2"/>
      </rPr>
      <t xml:space="preserve">For this spreadsheet. </t>
    </r>
    <r>
      <rPr>
        <u/>
        <sz val="10"/>
        <color rgb="FF1155CC"/>
        <rFont val="Arial"/>
        <family val="2"/>
      </rPr>
      <t>Also similar CR test</t>
    </r>
  </si>
  <si>
    <t>S3phy</t>
  </si>
  <si>
    <t>For updating this spreadsheet</t>
  </si>
  <si>
    <t>Noodlesoup</t>
  </si>
  <si>
    <t>For testing and correlating emperical data</t>
  </si>
  <si>
    <t>Astralmist</t>
  </si>
  <si>
    <t>For providing datamined defense values and formula</t>
  </si>
  <si>
    <t>Notes</t>
  </si>
  <si>
    <t>Last Updated: 30/7/2024</t>
  </si>
  <si>
    <t>- Phys dmg cap REMOVED AS OF MAY UPDATE</t>
  </si>
  <si>
    <t>- Make sure not to include duplicate self buffs in both the base stat and party buffs or hyper skill.</t>
  </si>
  <si>
    <t>- If you want to change "current emblems", then please change your base stats to reflect it first</t>
  </si>
  <si>
    <t>- Damage formula updated for IED and level modifiers</t>
  </si>
  <si>
    <t>Timeline</t>
  </si>
  <si>
    <t>Values</t>
  </si>
  <si>
    <t>Forecast</t>
  </si>
  <si>
    <t>Lower Confidence Bound</t>
  </si>
  <si>
    <t>Upper Confidence Bound</t>
  </si>
  <si>
    <t>Level</t>
  </si>
  <si>
    <t>DefenseRating</t>
  </si>
  <si>
    <t>Your Level</t>
  </si>
  <si>
    <t>Target Level</t>
  </si>
  <si>
    <t>Formula</t>
  </si>
  <si>
    <t>TargetDefense</t>
  </si>
  <si>
    <t>YourDR</t>
  </si>
  <si>
    <t>DamageReduction%</t>
  </si>
  <si>
    <t>TotalDR (Boss)</t>
  </si>
  <si>
    <t>TotalDR (Mob)</t>
  </si>
  <si>
    <t>User Input -&gt;</t>
  </si>
  <si>
    <t>DamageReduction% =</t>
  </si>
  <si>
    <t>TargetDefense /</t>
  </si>
  <si>
    <t>Damage Reduction %</t>
  </si>
  <si>
    <t>TotalDR</t>
  </si>
  <si>
    <t>(YourDefenseRating + TargetDefenseRating)</t>
  </si>
  <si>
    <t>Generally, TargetDefense is same as its DefenseRating unless manually overwritten</t>
  </si>
  <si>
    <t>Some exceptions eg. Lotus Phase 1, Guild Dungeon etc</t>
  </si>
  <si>
    <t>Monster lvl</t>
  </si>
  <si>
    <t>lvl diff count</t>
  </si>
  <si>
    <t>Modifier %</t>
  </si>
  <si>
    <t>Workings</t>
  </si>
  <si>
    <t>Ave per lvl</t>
  </si>
  <si>
    <t>Count</t>
  </si>
  <si>
    <t>Rounding</t>
  </si>
  <si>
    <t>Lvl difference</t>
  </si>
  <si>
    <t>Specific level mod</t>
  </si>
  <si>
    <t>Total modifier</t>
  </si>
  <si>
    <t>Seed</t>
  </si>
  <si>
    <t>THE REAL DAMAGE FORMULA</t>
  </si>
  <si>
    <t>I'm glad to share my result in research the damage formula. the mystery formula is:</t>
  </si>
  <si>
    <r>
      <rPr>
        <sz val="10"/>
        <color rgb="FF000000"/>
        <rFont val="Arial"/>
        <family val="2"/>
      </rPr>
      <t>Damage to normal mob = ATK * skill% * (1 + DMG%) * (1 + FD%) * </t>
    </r>
    <r>
      <rPr>
        <b/>
        <sz val="10"/>
        <color rgb="FF000000"/>
        <rFont val="Arial"/>
        <family val="2"/>
      </rPr>
      <t>(1 + ATK%)</t>
    </r>
  </si>
  <si>
    <r>
      <rPr>
        <sz val="10"/>
        <color rgb="FF000000"/>
        <rFont val="Arial"/>
        <family val="2"/>
      </rPr>
      <t>Damage to Bosses = ATK * skill% * (1 + DMG%) * (1 + FD%) * </t>
    </r>
    <r>
      <rPr>
        <b/>
        <sz val="10"/>
        <color rgb="FF000000"/>
        <rFont val="Arial"/>
        <family val="2"/>
      </rPr>
      <t>(1 + ATK% + skill% * BossATK%)</t>
    </r>
  </si>
  <si>
    <t>Critical Damage = Non-critical damage * (1 + Critical Damage% + 0.2)</t>
  </si>
  <si>
    <t>The BossATK% part makes no sense, but it certainly works this way. It's hard to explain how I obtain this formula, so I'll just leave all the data I collected here.</t>
  </si>
  <si>
    <t>https://docs.google.com/spreadsheets/d/1FisXW3NUeIJCVxWo8wi68XHMSFVglOjf3ji-zx_85Nk/edit#gid=1964636317</t>
  </si>
  <si>
    <t>The improvement of different BossATK% is affected by both BossATK% and skill%. We found that it is calculated by skill% * BossATK%. Also, they are added to ATK%.</t>
  </si>
  <si>
    <t>For the FD%, sum up all final damage you have to get the total FD%. Thanks to u/FR0STM0UI2NE for doing the test. If you are curious about the details, here's the post.</t>
  </si>
  <si>
    <t>https://www.reddit.com/r/MapleStoryM/comments/fyfklm/a_test_on_the_effect_of_final_dmg_and_the/</t>
  </si>
  <si>
    <t>There are some other stuff I found during this research. You can find them in this slide.</t>
  </si>
  <si>
    <t>https://hackmd.io/@pzpsaFv3SXS74AStOrLFsA/rJkkmEqv8?type=slide#/</t>
  </si>
  <si>
    <t>(AD * Skill% * (1 + Damage% + BossDamage%) * CriticalDamage%) * (1 - (PDR% * (1 - IED%))) * (1 + (ElementalResist% * (1 - IgnoreElementalResist%))) + FDB</t>
  </si>
  <si>
    <t>So lets start breaking this down. Convert %s to Decimals when calculating.</t>
  </si>
  <si>
    <t>AD : Actual Damage Range. The formula is: (Weapon Multiplier * StatValue * (ATT/100)). The weapon multiplier for 2H swords is 1.35. Stat Value for Kaisers is (STR * 4) + DEX. ATT is calculated as: ((Flat ATT) * (1 + ATT%) + Inner Ability ATT + Character Card ATT) / 100. Stat Values are different for some classes, most notably DAs and Xenons. Your choice of weapon also plays a significant role in your damage output. Heroes with similar 1H and 2H swords will find a significant boost using a 2H, all else remaining constant. In the ATT formula, rolling (M)ATT+30 in your IA is not as good as it looks (although still pretty good in Reboot, due to ATT being harder to get).</t>
  </si>
  <si>
    <t>(1 + Damage% + BossDamage%) : A few things to note. ATT% and Damage% have the same function, but ATT% is better to get. In a vacuum, %ATT = %Damage would give you the best damage increase, but this isn't attainable for a few reasons. In Reboot, any semblance of balance goes out the window. You get 100% Damage for free by leveling to 200, and a lot of classes make it worse by giving you %Damage Buffs and not ATT buffs. Catalyze gives Kaisers 30% Damage, for example. BD% also gives much higher values compared to any %ATT Lines you would get, 40% BD compared to 12% ATT. Because of the abundance of %Damage given in Reboot, and since BD% is basically Damage% only applied to Bosses, %ATT is much much MUCH better than %Damage.</t>
  </si>
  <si>
    <t>(1 - (PDR% * (1 - IED%))) : PDR is monster defense. CVell, for example, has 300%. IED% is Ignore Enemy Defense, and you can view that on your stat screen. Say we have 95% IED, so 5% off from 100%. 5% of 300% is 15%, so you'd be doing 85% of your actual damage on CVell. Around 80% is good enough for most of the bosses in the game, but you're going to want 90%+ for CVell and Lotus.</t>
  </si>
  <si>
    <t>(1 + (ElementalResist% * (1 - IgnoreElementalResist%))) : This doesn't just affect mage classes, since Physical is classified as an element. Most classes lose a chunk of their damage since all the lategame bosses resist every element.</t>
  </si>
  <si>
    <t>EDIT: Copy and pasting a response to clarify ATT% and Damage%</t>
  </si>
  <si>
    <t>If you move the /100 to the flat ATT portion (and conveniently ignore Inner Ability and Character Card ATT) you can make it look like this:</t>
  </si>
  <si>
    <t>(ATT/100) * (1+ATT%) * (1+BD+TD)</t>
  </si>
  <si>
    <t>Which allows us to see the best way to increase damage is to have ATT% and Damage% be about equal. If you have 50% ATT and 0% Damage, you get 1.5x your damage, because you're multiplying 1.5 with 1.0. Same thing if you have 50% Damage but 0% ATT.</t>
  </si>
  <si>
    <t>If you were able to equally distribute the two, 25% ATT and 25% Damage, it would be 1.25 * 1.25, or a 1.5625 increase.</t>
  </si>
  <si>
    <t>It doesn't work out as cleanly, since BD lines are much higher than any %ATT lines you can get, and Reboot gives you a lot of %Damage.</t>
  </si>
  <si>
    <t>Let:</t>
  </si>
  <si>
    <t>https://www.reddit.com/r/Maplestory/comments/iwjbts/how_does_crit_damage_work_exactly/#:~:text=You%20have%20to%20remember%20that,damage%20to%20obtain%20basic%20damage.</t>
  </si>
  <si>
    <t>A = Maximum Base Damage which is a function of Attack, Stats, and Weapon Multiplier</t>
  </si>
  <si>
    <t>B = %Boss Damage in Stats UI</t>
  </si>
  <si>
    <t>C = %Crit Damage in Stats UI</t>
  </si>
  <si>
    <t>D = %Damage in Stats UI</t>
  </si>
  <si>
    <t>F = %Final Damage in Stats UI</t>
  </si>
  <si>
    <t>W = Weapon Mastery (Usually 70%)</t>
  </si>
  <si>
    <t>S = Skill Damage</t>
  </si>
  <si>
    <t>General Formula: Actual Range vs Bosses</t>
  </si>
  <si>
    <t>Maximum Critical Damage = A×(1+B+D)×(1.5+C)×(1+F)</t>
  </si>
  <si>
    <t>Minimum Critical Damage = A×W×(1+B+D)×(1.2+C)×(1+F)</t>
  </si>
  <si>
    <t>Multiply the above with Skill Damage for actual damage per line of a particular skill.</t>
  </si>
  <si>
    <t>Drop B if facing normal mobs</t>
  </si>
  <si>
    <t>Date</t>
  </si>
  <si>
    <t>Changes</t>
  </si>
  <si>
    <t>May 26th 2020</t>
  </si>
  <si>
    <t>Damage &amp; Emblem calculator released</t>
  </si>
  <si>
    <t>Fixed issue where adding BA% in hyperstats didn't do anything</t>
  </si>
  <si>
    <t>July 14th 2020</t>
  </si>
  <si>
    <t>Changed the way crit res behaves as crit rate hard caps at 100%</t>
  </si>
  <si>
    <t>August 3rd 2020</t>
  </si>
  <si>
    <t>Added Wild Hunter buff and Lv 200 buff options, removed Pink Bean buffs</t>
  </si>
  <si>
    <t>August 9th 2020</t>
  </si>
  <si>
    <t>Fixed a minor issue with crit res calculation where abnormal 0% crit rate was applying at times. Added damage cap calculations</t>
  </si>
  <si>
    <t>June 14th 2023</t>
  </si>
  <si>
    <t>Updated with damage formula factoring in level modifiers and IED</t>
  </si>
  <si>
    <t>June 17th 2023</t>
  </si>
  <si>
    <t>Further enhanced damage modifier interpolation methodology with Forecast function, fixed negative level interpolation, increased base level to 300</t>
  </si>
  <si>
    <t>July 4th 2024</t>
  </si>
  <si>
    <t>Updated damage modifier with constant value adjustment based on level difference of up to 70, i.e. 270 (max level cap) - 200 (boss level)</t>
  </si>
  <si>
    <t>July 30th 2024</t>
  </si>
  <si>
    <t>Updated damage modifier based on data mined values, extrapolated to level 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</si>
</sst>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_-* #,##0_-;\-* #,##0_-;_-* &quot;-&quot;??_-;_-@"/>
    <numFmt numFmtId="166" formatCode="_-* #,##0.00_-;\-* #,##0.00_-;_-* &quot;-&quot;??_-;_-@"/>
    <numFmt numFmtId="167" formatCode="#,##0_ ;\-#,##0\ "/>
  </numFmts>
  <fonts count="41" x14ac:knownFonts="1">
    <font>
      <sz val="10"/>
      <color rgb="FF000000"/>
      <name val="Arial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666666"/>
      <name val="Arial"/>
      <family val="2"/>
    </font>
    <font>
      <b/>
      <sz val="10"/>
      <color rgb="FF666666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9"/>
      <color rgb="FFD8D8D8"/>
      <name val="Arial"/>
      <family val="2"/>
    </font>
    <font>
      <b/>
      <sz val="10"/>
      <color rgb="FFD8D8D8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b/>
      <u/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Roboto"/>
    </font>
    <font>
      <sz val="10"/>
      <color theme="1"/>
      <name val="Roboto"/>
    </font>
    <font>
      <b/>
      <sz val="11"/>
      <color theme="1"/>
      <name val="Roboto"/>
    </font>
    <font>
      <sz val="9"/>
      <color rgb="FF000000"/>
      <name val="Roboto"/>
    </font>
    <font>
      <b/>
      <sz val="10"/>
      <color theme="1"/>
      <name val="Roboto"/>
    </font>
    <font>
      <b/>
      <sz val="10"/>
      <color rgb="FF0000FF"/>
      <name val="Roboto"/>
    </font>
    <font>
      <sz val="10"/>
      <color rgb="FFFF0000"/>
      <name val="Roboto"/>
    </font>
    <font>
      <sz val="11"/>
      <color rgb="FF0000CC"/>
      <name val="Roboto"/>
    </font>
    <font>
      <sz val="11"/>
      <color theme="1"/>
      <name val="Roboto"/>
    </font>
    <font>
      <sz val="24"/>
      <color rgb="FF131313"/>
      <name val="Quattrocento Sans"/>
    </font>
    <font>
      <b/>
      <sz val="11"/>
      <color rgb="FF333D42"/>
      <name val="Quattrocento Sans"/>
    </font>
    <font>
      <sz val="11"/>
      <color rgb="FF333D42"/>
      <name val="Quattrocento Sans"/>
    </font>
    <font>
      <sz val="11"/>
      <color rgb="FF131313"/>
      <name val="Quattrocento Sans"/>
    </font>
    <font>
      <b/>
      <sz val="9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070C0"/>
        <bgColor rgb="FF0070C0"/>
      </patternFill>
    </fill>
    <fill>
      <patternFill patternType="solid">
        <fgColor rgb="FF009090"/>
        <bgColor rgb="FF00909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hair">
        <color rgb="FF000000"/>
      </left>
      <right/>
      <top/>
      <bottom style="dotted">
        <color rgb="FF000000"/>
      </bottom>
      <diagonal/>
    </border>
    <border>
      <left style="hair">
        <color rgb="FF000000"/>
      </left>
      <right/>
      <top style="dotted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3" fillId="0" borderId="3" xfId="0" applyFont="1" applyBorder="1"/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4" xfId="0" applyFont="1" applyBorder="1"/>
    <xf numFmtId="9" fontId="5" fillId="0" borderId="4" xfId="0" applyNumberFormat="1" applyFont="1" applyBorder="1"/>
    <xf numFmtId="0" fontId="3" fillId="0" borderId="6" xfId="0" applyFont="1" applyBorder="1"/>
    <xf numFmtId="0" fontId="3" fillId="2" borderId="7" xfId="0" applyFont="1" applyFill="1" applyBorder="1"/>
    <xf numFmtId="0" fontId="3" fillId="0" borderId="8" xfId="0" applyFont="1" applyBorder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9" xfId="0" applyFont="1" applyBorder="1"/>
    <xf numFmtId="9" fontId="5" fillId="0" borderId="9" xfId="0" applyNumberFormat="1" applyFont="1" applyBorder="1"/>
    <xf numFmtId="0" fontId="3" fillId="0" borderId="10" xfId="0" applyFont="1" applyBorder="1"/>
    <xf numFmtId="164" fontId="3" fillId="2" borderId="11" xfId="0" applyNumberFormat="1" applyFont="1" applyFill="1" applyBorder="1"/>
    <xf numFmtId="0" fontId="7" fillId="0" borderId="10" xfId="0" applyFont="1" applyBorder="1"/>
    <xf numFmtId="164" fontId="8" fillId="2" borderId="11" xfId="0" applyNumberFormat="1" applyFont="1" applyFill="1" applyBorder="1"/>
    <xf numFmtId="0" fontId="5" fillId="0" borderId="14" xfId="0" applyFont="1" applyBorder="1"/>
    <xf numFmtId="0" fontId="3" fillId="0" borderId="12" xfId="0" applyFont="1" applyBorder="1"/>
    <xf numFmtId="165" fontId="4" fillId="0" borderId="14" xfId="0" applyNumberFormat="1" applyFont="1" applyBorder="1" applyAlignment="1">
      <alignment horizontal="center" wrapText="1"/>
    </xf>
    <xf numFmtId="165" fontId="4" fillId="0" borderId="0" xfId="0" applyNumberFormat="1" applyFont="1" applyAlignment="1">
      <alignment horizontal="center" wrapText="1"/>
    </xf>
    <xf numFmtId="0" fontId="3" fillId="3" borderId="15" xfId="0" applyFont="1" applyFill="1" applyBorder="1"/>
    <xf numFmtId="3" fontId="10" fillId="0" borderId="16" xfId="0" applyNumberFormat="1" applyFont="1" applyBorder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0" fontId="11" fillId="0" borderId="10" xfId="0" applyFont="1" applyBorder="1"/>
    <xf numFmtId="164" fontId="12" fillId="2" borderId="11" xfId="0" applyNumberFormat="1" applyFont="1" applyFill="1" applyBorder="1"/>
    <xf numFmtId="3" fontId="10" fillId="0" borderId="0" xfId="0" applyNumberFormat="1" applyFont="1"/>
    <xf numFmtId="0" fontId="9" fillId="0" borderId="0" xfId="0" applyFont="1" applyAlignment="1">
      <alignment horizontal="center"/>
    </xf>
    <xf numFmtId="0" fontId="3" fillId="3" borderId="17" xfId="0" applyFont="1" applyFill="1" applyBorder="1"/>
    <xf numFmtId="164" fontId="10" fillId="0" borderId="9" xfId="0" applyNumberFormat="1" applyFont="1" applyBorder="1" applyAlignment="1">
      <alignment horizontal="right" vertical="center" wrapText="1"/>
    </xf>
    <xf numFmtId="164" fontId="10" fillId="0" borderId="0" xfId="0" applyNumberFormat="1" applyFont="1" applyAlignment="1">
      <alignment horizontal="right" vertical="center" wrapText="1"/>
    </xf>
    <xf numFmtId="164" fontId="5" fillId="0" borderId="0" xfId="0" applyNumberFormat="1" applyFont="1"/>
    <xf numFmtId="164" fontId="3" fillId="2" borderId="18" xfId="0" applyNumberFormat="1" applyFont="1" applyFill="1" applyBorder="1"/>
    <xf numFmtId="9" fontId="10" fillId="0" borderId="9" xfId="0" applyNumberFormat="1" applyFont="1" applyBorder="1" applyAlignment="1">
      <alignment horizontal="right" vertical="center" wrapText="1"/>
    </xf>
    <xf numFmtId="9" fontId="10" fillId="0" borderId="0" xfId="0" applyNumberFormat="1" applyFont="1" applyAlignment="1">
      <alignment horizontal="right" vertical="center" wrapText="1"/>
    </xf>
    <xf numFmtId="0" fontId="5" fillId="0" borderId="0" xfId="0" applyFont="1"/>
    <xf numFmtId="0" fontId="3" fillId="0" borderId="0" xfId="0" applyFont="1"/>
    <xf numFmtId="0" fontId="13" fillId="2" borderId="19" xfId="0" applyFont="1" applyFill="1" applyBorder="1" applyAlignment="1">
      <alignment horizontal="left"/>
    </xf>
    <xf numFmtId="164" fontId="14" fillId="0" borderId="20" xfId="0" applyNumberFormat="1" applyFont="1" applyBorder="1" applyAlignment="1">
      <alignment horizontal="right" wrapText="1"/>
    </xf>
    <xf numFmtId="164" fontId="14" fillId="0" borderId="0" xfId="0" applyNumberFormat="1" applyFont="1" applyAlignment="1">
      <alignment horizontal="right" wrapText="1"/>
    </xf>
    <xf numFmtId="0" fontId="3" fillId="2" borderId="21" xfId="0" applyFont="1" applyFill="1" applyBorder="1"/>
    <xf numFmtId="10" fontId="4" fillId="0" borderId="9" xfId="0" applyNumberFormat="1" applyFont="1" applyBorder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9" fontId="5" fillId="0" borderId="0" xfId="0" applyNumberFormat="1" applyFont="1"/>
    <xf numFmtId="9" fontId="5" fillId="0" borderId="14" xfId="0" applyNumberFormat="1" applyFont="1" applyBorder="1"/>
    <xf numFmtId="164" fontId="13" fillId="2" borderId="22" xfId="0" applyNumberFormat="1" applyFont="1" applyFill="1" applyBorder="1" applyAlignment="1">
      <alignment horizontal="left"/>
    </xf>
    <xf numFmtId="0" fontId="4" fillId="0" borderId="9" xfId="0" applyFont="1" applyBorder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0" fontId="13" fillId="2" borderId="22" xfId="0" applyFont="1" applyFill="1" applyBorder="1" applyAlignment="1">
      <alignment horizontal="left"/>
    </xf>
    <xf numFmtId="9" fontId="4" fillId="0" borderId="9" xfId="0" applyNumberFormat="1" applyFont="1" applyBorder="1" applyAlignment="1">
      <alignment horizontal="right" wrapText="1"/>
    </xf>
    <xf numFmtId="164" fontId="4" fillId="0" borderId="23" xfId="0" applyNumberFormat="1" applyFont="1" applyBorder="1" applyAlignment="1">
      <alignment horizontal="right"/>
    </xf>
    <xf numFmtId="164" fontId="13" fillId="2" borderId="24" xfId="0" applyNumberFormat="1" applyFont="1" applyFill="1" applyBorder="1" applyAlignment="1">
      <alignment horizontal="left"/>
    </xf>
    <xf numFmtId="0" fontId="13" fillId="2" borderId="24" xfId="0" applyFont="1" applyFill="1" applyBorder="1" applyAlignment="1">
      <alignment horizontal="left"/>
    </xf>
    <xf numFmtId="0" fontId="5" fillId="0" borderId="27" xfId="0" applyFont="1" applyBorder="1"/>
    <xf numFmtId="9" fontId="10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4" fillId="0" borderId="14" xfId="0" applyNumberFormat="1" applyFont="1" applyBorder="1" applyAlignment="1">
      <alignment horizontal="right"/>
    </xf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1" fillId="0" borderId="28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2" xfId="0" applyFont="1" applyBorder="1"/>
    <xf numFmtId="164" fontId="3" fillId="2" borderId="35" xfId="0" applyNumberFormat="1" applyFont="1" applyFill="1" applyBorder="1" applyAlignment="1">
      <alignment horizontal="center" vertical="center"/>
    </xf>
    <xf numFmtId="0" fontId="10" fillId="0" borderId="28" xfId="0" applyFont="1" applyBorder="1"/>
    <xf numFmtId="0" fontId="10" fillId="0" borderId="0" xfId="0" applyFont="1"/>
    <xf numFmtId="0" fontId="5" fillId="2" borderId="38" xfId="0" applyFont="1" applyFill="1" applyBorder="1"/>
    <xf numFmtId="0" fontId="10" fillId="2" borderId="39" xfId="0" applyFont="1" applyFill="1" applyBorder="1"/>
    <xf numFmtId="164" fontId="3" fillId="2" borderId="39" xfId="0" applyNumberFormat="1" applyFont="1" applyFill="1" applyBorder="1" applyAlignment="1">
      <alignment wrapText="1"/>
    </xf>
    <xf numFmtId="164" fontId="3" fillId="2" borderId="11" xfId="0" applyNumberFormat="1" applyFont="1" applyFill="1" applyBorder="1" applyAlignment="1">
      <alignment wrapText="1"/>
    </xf>
    <xf numFmtId="0" fontId="3" fillId="0" borderId="28" xfId="0" applyFont="1" applyBorder="1"/>
    <xf numFmtId="9" fontId="5" fillId="0" borderId="9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 vertical="center"/>
    </xf>
    <xf numFmtId="165" fontId="5" fillId="0" borderId="0" xfId="0" applyNumberFormat="1" applyFont="1"/>
    <xf numFmtId="165" fontId="5" fillId="0" borderId="27" xfId="0" applyNumberFormat="1" applyFont="1" applyBorder="1"/>
    <xf numFmtId="0" fontId="10" fillId="0" borderId="0" xfId="0" applyFont="1" applyAlignment="1">
      <alignment horizontal="center"/>
    </xf>
    <xf numFmtId="0" fontId="10" fillId="0" borderId="8" xfId="0" applyFont="1" applyBorder="1"/>
    <xf numFmtId="0" fontId="10" fillId="0" borderId="40" xfId="0" applyFont="1" applyBorder="1"/>
    <xf numFmtId="0" fontId="10" fillId="0" borderId="4" xfId="0" applyFont="1" applyBorder="1"/>
    <xf numFmtId="0" fontId="10" fillId="0" borderId="5" xfId="0" applyFont="1" applyBorder="1"/>
    <xf numFmtId="0" fontId="16" fillId="0" borderId="41" xfId="0" applyFont="1" applyBorder="1" applyAlignment="1">
      <alignment wrapText="1"/>
    </xf>
    <xf numFmtId="0" fontId="3" fillId="0" borderId="28" xfId="0" applyFont="1" applyBorder="1" applyAlignment="1">
      <alignment horizontal="left"/>
    </xf>
    <xf numFmtId="3" fontId="10" fillId="0" borderId="9" xfId="0" applyNumberFormat="1" applyFont="1" applyBorder="1" applyAlignment="1">
      <alignment horizontal="left"/>
    </xf>
    <xf numFmtId="3" fontId="10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9" fontId="10" fillId="0" borderId="0" xfId="0" applyNumberFormat="1" applyFont="1" applyAlignment="1">
      <alignment horizontal="center" vertical="center"/>
    </xf>
    <xf numFmtId="0" fontId="5" fillId="4" borderId="38" xfId="0" applyFont="1" applyFill="1" applyBorder="1"/>
    <xf numFmtId="0" fontId="5" fillId="4" borderId="39" xfId="0" applyFont="1" applyFill="1" applyBorder="1"/>
    <xf numFmtId="0" fontId="5" fillId="4" borderId="11" xfId="0" applyFont="1" applyFill="1" applyBorder="1"/>
    <xf numFmtId="0" fontId="3" fillId="2" borderId="38" xfId="0" applyFont="1" applyFill="1" applyBorder="1" applyAlignment="1">
      <alignment horizontal="left"/>
    </xf>
    <xf numFmtId="3" fontId="10" fillId="2" borderId="42" xfId="0" applyNumberFormat="1" applyFont="1" applyFill="1" applyBorder="1" applyAlignment="1">
      <alignment horizontal="left"/>
    </xf>
    <xf numFmtId="3" fontId="10" fillId="2" borderId="36" xfId="0" applyNumberFormat="1" applyFont="1" applyFill="1" applyBorder="1" applyAlignment="1">
      <alignment horizontal="left"/>
    </xf>
    <xf numFmtId="0" fontId="10" fillId="2" borderId="39" xfId="0" applyFont="1" applyFill="1" applyBorder="1" applyAlignment="1">
      <alignment horizontal="center"/>
    </xf>
    <xf numFmtId="3" fontId="5" fillId="2" borderId="39" xfId="0" applyNumberFormat="1" applyFont="1" applyFill="1" applyBorder="1" applyAlignment="1">
      <alignment horizontal="left"/>
    </xf>
    <xf numFmtId="9" fontId="10" fillId="2" borderId="39" xfId="0" applyNumberFormat="1" applyFont="1" applyFill="1" applyBorder="1" applyAlignment="1">
      <alignment horizontal="center" vertical="center"/>
    </xf>
    <xf numFmtId="166" fontId="10" fillId="0" borderId="28" xfId="0" applyNumberFormat="1" applyFont="1" applyBorder="1"/>
    <xf numFmtId="0" fontId="3" fillId="2" borderId="43" xfId="0" applyFont="1" applyFill="1" applyBorder="1" applyAlignment="1">
      <alignment horizontal="left"/>
    </xf>
    <xf numFmtId="3" fontId="10" fillId="2" borderId="44" xfId="0" applyNumberFormat="1" applyFont="1" applyFill="1" applyBorder="1" applyAlignment="1">
      <alignment horizontal="left"/>
    </xf>
    <xf numFmtId="3" fontId="10" fillId="2" borderId="45" xfId="0" applyNumberFormat="1" applyFont="1" applyFill="1" applyBorder="1" applyAlignment="1">
      <alignment horizontal="left"/>
    </xf>
    <xf numFmtId="0" fontId="10" fillId="2" borderId="46" xfId="0" applyFont="1" applyFill="1" applyBorder="1" applyAlignment="1">
      <alignment horizontal="center"/>
    </xf>
    <xf numFmtId="3" fontId="5" fillId="2" borderId="46" xfId="0" applyNumberFormat="1" applyFont="1" applyFill="1" applyBorder="1" applyAlignment="1">
      <alignment horizontal="left"/>
    </xf>
    <xf numFmtId="9" fontId="10" fillId="2" borderId="47" xfId="0" applyNumberFormat="1" applyFont="1" applyFill="1" applyBorder="1" applyAlignment="1">
      <alignment horizontal="center" vertical="center"/>
    </xf>
    <xf numFmtId="0" fontId="10" fillId="0" borderId="27" xfId="0" applyFont="1" applyBorder="1"/>
    <xf numFmtId="3" fontId="10" fillId="5" borderId="42" xfId="0" applyNumberFormat="1" applyFont="1" applyFill="1" applyBorder="1" applyAlignment="1">
      <alignment horizontal="left"/>
    </xf>
    <xf numFmtId="3" fontId="10" fillId="5" borderId="0" xfId="0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166" fontId="5" fillId="0" borderId="28" xfId="0" applyNumberFormat="1" applyFont="1" applyBorder="1" applyAlignment="1">
      <alignment horizontal="left"/>
    </xf>
    <xf numFmtId="0" fontId="3" fillId="2" borderId="48" xfId="0" applyFont="1" applyFill="1" applyBorder="1" applyAlignment="1">
      <alignment horizontal="left"/>
    </xf>
    <xf numFmtId="3" fontId="10" fillId="2" borderId="49" xfId="0" applyNumberFormat="1" applyFont="1" applyFill="1" applyBorder="1" applyAlignment="1">
      <alignment horizontal="left"/>
    </xf>
    <xf numFmtId="3" fontId="10" fillId="2" borderId="50" xfId="0" applyNumberFormat="1" applyFont="1" applyFill="1" applyBorder="1" applyAlignment="1">
      <alignment horizontal="left"/>
    </xf>
    <xf numFmtId="0" fontId="3" fillId="2" borderId="51" xfId="0" applyFont="1" applyFill="1" applyBorder="1" applyAlignment="1">
      <alignment horizontal="center"/>
    </xf>
    <xf numFmtId="3" fontId="5" fillId="2" borderId="51" xfId="0" applyNumberFormat="1" applyFont="1" applyFill="1" applyBorder="1" applyAlignment="1">
      <alignment horizontal="left"/>
    </xf>
    <xf numFmtId="9" fontId="10" fillId="2" borderId="52" xfId="0" applyNumberFormat="1" applyFont="1" applyFill="1" applyBorder="1" applyAlignment="1">
      <alignment horizontal="center" vertical="center"/>
    </xf>
    <xf numFmtId="0" fontId="3" fillId="0" borderId="29" xfId="0" applyFont="1" applyBorder="1"/>
    <xf numFmtId="0" fontId="10" fillId="0" borderId="30" xfId="0" applyFont="1" applyBorder="1"/>
    <xf numFmtId="3" fontId="10" fillId="0" borderId="30" xfId="0" applyNumberFormat="1" applyFont="1" applyBorder="1"/>
    <xf numFmtId="14" fontId="10" fillId="0" borderId="0" xfId="0" applyNumberFormat="1" applyFont="1"/>
    <xf numFmtId="15" fontId="10" fillId="0" borderId="0" xfId="0" applyNumberFormat="1" applyFont="1"/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5" fillId="0" borderId="32" xfId="0" applyFont="1" applyBorder="1"/>
    <xf numFmtId="0" fontId="17" fillId="0" borderId="0" xfId="0" applyFont="1" applyAlignment="1">
      <alignment wrapText="1"/>
    </xf>
    <xf numFmtId="0" fontId="18" fillId="0" borderId="0" xfId="0" applyFont="1"/>
    <xf numFmtId="0" fontId="19" fillId="0" borderId="30" xfId="0" applyFont="1" applyBorder="1"/>
    <xf numFmtId="0" fontId="5" fillId="0" borderId="53" xfId="0" applyFont="1" applyBorder="1"/>
    <xf numFmtId="0" fontId="10" fillId="0" borderId="28" xfId="0" applyFont="1" applyBorder="1" applyAlignment="1">
      <alignment wrapText="1"/>
    </xf>
    <xf numFmtId="0" fontId="20" fillId="0" borderId="0" xfId="0" applyFont="1"/>
    <xf numFmtId="0" fontId="5" fillId="4" borderId="38" xfId="0" applyFont="1" applyFill="1" applyBorder="1" applyAlignment="1">
      <alignment wrapText="1"/>
    </xf>
    <xf numFmtId="0" fontId="21" fillId="4" borderId="39" xfId="0" applyFont="1" applyFill="1" applyBorder="1"/>
    <xf numFmtId="0" fontId="5" fillId="4" borderId="48" xfId="0" applyFont="1" applyFill="1" applyBorder="1" applyAlignment="1">
      <alignment wrapText="1"/>
    </xf>
    <xf numFmtId="0" fontId="22" fillId="4" borderId="51" xfId="0" applyFont="1" applyFill="1" applyBorder="1"/>
    <xf numFmtId="0" fontId="5" fillId="4" borderId="51" xfId="0" applyFont="1" applyFill="1" applyBorder="1"/>
    <xf numFmtId="0" fontId="5" fillId="4" borderId="52" xfId="0" applyFont="1" applyFill="1" applyBorder="1"/>
    <xf numFmtId="0" fontId="5" fillId="4" borderId="39" xfId="0" applyFont="1" applyFill="1" applyBorder="1" applyAlignment="1">
      <alignment wrapText="1"/>
    </xf>
    <xf numFmtId="0" fontId="23" fillId="4" borderId="39" xfId="0" applyFont="1" applyFill="1" applyBorder="1"/>
    <xf numFmtId="0" fontId="1" fillId="0" borderId="27" xfId="0" applyFont="1" applyBorder="1"/>
    <xf numFmtId="0" fontId="5" fillId="0" borderId="28" xfId="0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24" fillId="0" borderId="0" xfId="0" applyFont="1"/>
    <xf numFmtId="166" fontId="10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5" fillId="0" borderId="0" xfId="0" applyFont="1" applyAlignment="1">
      <alignment horizontal="center"/>
    </xf>
    <xf numFmtId="0" fontId="25" fillId="0" borderId="1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5" fillId="0" borderId="54" xfId="0" applyFont="1" applyBorder="1" applyAlignment="1">
      <alignment horizontal="center"/>
    </xf>
    <xf numFmtId="0" fontId="25" fillId="0" borderId="0" xfId="0" applyFont="1" applyAlignment="1">
      <alignment horizontal="right"/>
    </xf>
    <xf numFmtId="9" fontId="26" fillId="0" borderId="0" xfId="0" applyNumberFormat="1" applyFont="1"/>
    <xf numFmtId="0" fontId="29" fillId="0" borderId="0" xfId="0" quotePrefix="1" applyFont="1"/>
    <xf numFmtId="3" fontId="25" fillId="6" borderId="55" xfId="0" applyNumberFormat="1" applyFont="1" applyFill="1" applyBorder="1" applyAlignment="1">
      <alignment horizontal="right"/>
    </xf>
    <xf numFmtId="0" fontId="30" fillId="0" borderId="0" xfId="0" applyFont="1"/>
    <xf numFmtId="0" fontId="30" fillId="0" borderId="0" xfId="0" quotePrefix="1" applyFont="1"/>
    <xf numFmtId="167" fontId="26" fillId="0" borderId="0" xfId="0" applyNumberFormat="1" applyFont="1"/>
    <xf numFmtId="0" fontId="25" fillId="0" borderId="10" xfId="0" applyFont="1" applyBorder="1" applyAlignment="1">
      <alignment horizontal="right"/>
    </xf>
    <xf numFmtId="166" fontId="26" fillId="0" borderId="0" xfId="0" applyNumberFormat="1" applyFont="1"/>
    <xf numFmtId="167" fontId="26" fillId="0" borderId="54" xfId="0" applyNumberFormat="1" applyFont="1" applyBorder="1"/>
    <xf numFmtId="0" fontId="28" fillId="0" borderId="0" xfId="0" applyFont="1"/>
    <xf numFmtId="165" fontId="25" fillId="0" borderId="0" xfId="0" applyNumberFormat="1" applyFont="1" applyAlignment="1">
      <alignment horizontal="right"/>
    </xf>
    <xf numFmtId="0" fontId="31" fillId="0" borderId="0" xfId="0" applyFont="1"/>
    <xf numFmtId="3" fontId="32" fillId="6" borderId="55" xfId="0" applyNumberFormat="1" applyFont="1" applyFill="1" applyBorder="1" applyAlignment="1">
      <alignment horizontal="right"/>
    </xf>
    <xf numFmtId="0" fontId="26" fillId="7" borderId="39" xfId="0" applyFont="1" applyFill="1" applyBorder="1"/>
    <xf numFmtId="167" fontId="33" fillId="7" borderId="0" xfId="0" applyNumberFormat="1" applyFont="1" applyFill="1" applyAlignment="1">
      <alignment horizontal="right"/>
    </xf>
    <xf numFmtId="0" fontId="26" fillId="0" borderId="10" xfId="0" applyFont="1" applyBorder="1"/>
    <xf numFmtId="165" fontId="26" fillId="0" borderId="54" xfId="0" applyNumberFormat="1" applyFont="1" applyBorder="1"/>
    <xf numFmtId="0" fontId="26" fillId="0" borderId="25" xfId="0" applyFont="1" applyBorder="1"/>
    <xf numFmtId="166" fontId="26" fillId="0" borderId="56" xfId="0" applyNumberFormat="1" applyFont="1" applyBorder="1"/>
    <xf numFmtId="165" fontId="26" fillId="0" borderId="57" xfId="0" applyNumberFormat="1" applyFont="1" applyBorder="1"/>
    <xf numFmtId="0" fontId="3" fillId="8" borderId="58" xfId="0" applyFont="1" applyFill="1" applyBorder="1"/>
    <xf numFmtId="165" fontId="3" fillId="2" borderId="11" xfId="0" applyNumberFormat="1" applyFont="1" applyFill="1" applyBorder="1"/>
    <xf numFmtId="9" fontId="10" fillId="0" borderId="0" xfId="0" applyNumberFormat="1" applyFont="1"/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15" fontId="10" fillId="0" borderId="0" xfId="0" quotePrefix="1" applyNumberFormat="1" applyFont="1"/>
    <xf numFmtId="0" fontId="39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left"/>
    </xf>
    <xf numFmtId="0" fontId="2" fillId="0" borderId="5" xfId="0" applyFont="1" applyBorder="1"/>
    <xf numFmtId="0" fontId="3" fillId="0" borderId="8" xfId="0" applyFont="1" applyBorder="1" applyAlignment="1">
      <alignment horizontal="left"/>
    </xf>
    <xf numFmtId="0" fontId="0" fillId="0" borderId="0" xfId="0"/>
    <xf numFmtId="0" fontId="6" fillId="0" borderId="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30" xfId="0" applyFont="1" applyBorder="1" applyAlignment="1">
      <alignment horizontal="center"/>
    </xf>
    <xf numFmtId="0" fontId="2" fillId="0" borderId="30" xfId="0" applyFont="1" applyBorder="1"/>
    <xf numFmtId="0" fontId="1" fillId="0" borderId="25" xfId="0" applyFont="1" applyBorder="1" applyAlignment="1">
      <alignment horizontal="center"/>
    </xf>
    <xf numFmtId="0" fontId="2" fillId="0" borderId="26" xfId="0" applyFont="1" applyBorder="1"/>
    <xf numFmtId="0" fontId="15" fillId="0" borderId="28" xfId="0" applyFont="1" applyBorder="1" applyAlignment="1">
      <alignment horizontal="center" vertical="center" wrapText="1"/>
    </xf>
    <xf numFmtId="164" fontId="3" fillId="2" borderId="33" xfId="0" applyNumberFormat="1" applyFont="1" applyFill="1" applyBorder="1" applyAlignment="1">
      <alignment horizontal="center" vertical="center"/>
    </xf>
    <xf numFmtId="0" fontId="2" fillId="0" borderId="34" xfId="0" applyFont="1" applyBorder="1"/>
    <xf numFmtId="164" fontId="3" fillId="2" borderId="36" xfId="0" applyNumberFormat="1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7" xfId="0" applyFont="1" applyBorder="1"/>
    <xf numFmtId="0" fontId="3" fillId="0" borderId="12" xfId="0" applyFont="1" applyBorder="1" applyAlignment="1">
      <alignment horizontal="left"/>
    </xf>
    <xf numFmtId="0" fontId="2" fillId="0" borderId="13" xfId="0" applyFont="1" applyBorder="1"/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3" fillId="8" borderId="59" xfId="0" applyFont="1" applyFill="1" applyBorder="1" applyAlignment="1">
      <alignment horizontal="center"/>
    </xf>
    <xf numFmtId="0" fontId="2" fillId="0" borderId="60" xfId="0" applyFont="1" applyBorder="1"/>
  </cellXfs>
  <cellStyles count="1">
    <cellStyle name="Normal" xfId="0" builtinId="0"/>
  </cellStyles>
  <dxfs count="2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</dxfs>
  <tableStyles count="1">
    <tableStyle name="Forecast DMG REDUC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28575" cmpd="sng">
              <a:solidFill>
                <a:srgbClr val="4285F4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'Forecast DMG REDUC'!$A$2:$A$314</c:f>
              <c:numCache>
                <c:formatCode>General</c:formatCode>
                <c:ptCount val="3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</c:numCache>
            </c:numRef>
          </c:cat>
          <c:val>
            <c:numRef>
              <c:f>'Forecast DMG REDUC'!$B$2:$B$314</c:f>
              <c:numCache>
                <c:formatCode>_-* #,##0.00_-;\-* #,##0.00_-;_-* "-"??_-;_-@</c:formatCode>
                <c:ptCount val="313"/>
                <c:pt idx="0">
                  <c:v>-511.26006999999993</c:v>
                </c:pt>
                <c:pt idx="1">
                  <c:v>-454.68311999999992</c:v>
                </c:pt>
                <c:pt idx="2">
                  <c:v>-396.12786999999992</c:v>
                </c:pt>
                <c:pt idx="3">
                  <c:v>-335.64231999999993</c:v>
                </c:pt>
                <c:pt idx="4">
                  <c:v>-273.27374999999995</c:v>
                </c:pt>
                <c:pt idx="5">
                  <c:v>-209.06871999999993</c:v>
                </c:pt>
                <c:pt idx="6">
                  <c:v>-143.07306999999992</c:v>
                </c:pt>
                <c:pt idx="7">
                  <c:v>-75.331919999999911</c:v>
                </c:pt>
                <c:pt idx="8">
                  <c:v>-5.88966999999991</c:v>
                </c:pt>
                <c:pt idx="9">
                  <c:v>65.21000000000015</c:v>
                </c:pt>
                <c:pt idx="10">
                  <c:v>137.9241300000001</c:v>
                </c:pt>
                <c:pt idx="11">
                  <c:v>212.21048000000008</c:v>
                </c:pt>
                <c:pt idx="12">
                  <c:v>288.02753000000007</c:v>
                </c:pt>
                <c:pt idx="13">
                  <c:v>365.33448000000021</c:v>
                </c:pt>
                <c:pt idx="14">
                  <c:v>444.09125000000017</c:v>
                </c:pt>
                <c:pt idx="15">
                  <c:v>524.25848000000019</c:v>
                </c:pt>
                <c:pt idx="16">
                  <c:v>605.79753000000005</c:v>
                </c:pt>
                <c:pt idx="17">
                  <c:v>688.67048</c:v>
                </c:pt>
                <c:pt idx="18">
                  <c:v>772.84013000000004</c:v>
                </c:pt>
                <c:pt idx="19">
                  <c:v>858.27000000000021</c:v>
                </c:pt>
                <c:pt idx="20">
                  <c:v>944.92433000000028</c:v>
                </c:pt>
                <c:pt idx="21">
                  <c:v>1032.7680800000003</c:v>
                </c:pt>
                <c:pt idx="22">
                  <c:v>1121.7669300000002</c:v>
                </c:pt>
                <c:pt idx="23">
                  <c:v>1211.8872799999999</c:v>
                </c:pt>
                <c:pt idx="24">
                  <c:v>1303.0962500000001</c:v>
                </c:pt>
                <c:pt idx="25">
                  <c:v>1395.36168</c:v>
                </c:pt>
                <c:pt idx="26">
                  <c:v>1488.6521300000004</c:v>
                </c:pt>
                <c:pt idx="27">
                  <c:v>1582.9368800000002</c:v>
                </c:pt>
                <c:pt idx="28">
                  <c:v>1678.1859300000001</c:v>
                </c:pt>
                <c:pt idx="29">
                  <c:v>1774.3700000000003</c:v>
                </c:pt>
                <c:pt idx="30">
                  <c:v>1871.4605300000003</c:v>
                </c:pt>
                <c:pt idx="31">
                  <c:v>1969.4296800000002</c:v>
                </c:pt>
                <c:pt idx="32">
                  <c:v>2068.2503300000003</c:v>
                </c:pt>
                <c:pt idx="33">
                  <c:v>2167.89608</c:v>
                </c:pt>
                <c:pt idx="34">
                  <c:v>2268.3412499999999</c:v>
                </c:pt>
                <c:pt idx="35">
                  <c:v>2369.56088</c:v>
                </c:pt>
                <c:pt idx="36">
                  <c:v>2471.5307299999999</c:v>
                </c:pt>
                <c:pt idx="37">
                  <c:v>2574.2272800000005</c:v>
                </c:pt>
                <c:pt idx="38">
                  <c:v>2677.6277300000002</c:v>
                </c:pt>
                <c:pt idx="39">
                  <c:v>2781.7100000000005</c:v>
                </c:pt>
                <c:pt idx="40">
                  <c:v>2886.4527300000004</c:v>
                </c:pt>
                <c:pt idx="41">
                  <c:v>2991.8352800000002</c:v>
                </c:pt>
                <c:pt idx="42">
                  <c:v>3097.8377300000002</c:v>
                </c:pt>
                <c:pt idx="43">
                  <c:v>3204.4408800000006</c:v>
                </c:pt>
                <c:pt idx="44">
                  <c:v>3311.6262500000003</c:v>
                </c:pt>
                <c:pt idx="45">
                  <c:v>3419.37608</c:v>
                </c:pt>
                <c:pt idx="46">
                  <c:v>3527.6733300000001</c:v>
                </c:pt>
                <c:pt idx="47">
                  <c:v>3636.5016799999999</c:v>
                </c:pt>
                <c:pt idx="48">
                  <c:v>3745.8455300000001</c:v>
                </c:pt>
                <c:pt idx="49">
                  <c:v>3855.69</c:v>
                </c:pt>
                <c:pt idx="50">
                  <c:v>3966.0209300000001</c:v>
                </c:pt>
                <c:pt idx="51">
                  <c:v>4076.8248799999997</c:v>
                </c:pt>
                <c:pt idx="52">
                  <c:v>4188.0891300000003</c:v>
                </c:pt>
                <c:pt idx="53">
                  <c:v>4299.8016800000005</c:v>
                </c:pt>
                <c:pt idx="54">
                  <c:v>4411.9512500000001</c:v>
                </c:pt>
                <c:pt idx="55">
                  <c:v>4524.5272800000002</c:v>
                </c:pt>
                <c:pt idx="56">
                  <c:v>4637.5199300000004</c:v>
                </c:pt>
                <c:pt idx="57">
                  <c:v>4750.9200800000017</c:v>
                </c:pt>
                <c:pt idx="58">
                  <c:v>4864.7193299999999</c:v>
                </c:pt>
                <c:pt idx="59">
                  <c:v>4978.91</c:v>
                </c:pt>
                <c:pt idx="60">
                  <c:v>5093.4851300000009</c:v>
                </c:pt>
                <c:pt idx="61">
                  <c:v>5208.4384800000007</c:v>
                </c:pt>
                <c:pt idx="62">
                  <c:v>5323.7645300000004</c:v>
                </c:pt>
                <c:pt idx="63">
                  <c:v>5439.4584800000011</c:v>
                </c:pt>
                <c:pt idx="64">
                  <c:v>5555.5162500000006</c:v>
                </c:pt>
                <c:pt idx="65">
                  <c:v>5671.9344799999999</c:v>
                </c:pt>
                <c:pt idx="66">
                  <c:v>5788.7105300000003</c:v>
                </c:pt>
                <c:pt idx="67">
                  <c:v>5905.8424800000012</c:v>
                </c:pt>
                <c:pt idx="68">
                  <c:v>6023.3291300000001</c:v>
                </c:pt>
                <c:pt idx="69">
                  <c:v>6141.17</c:v>
                </c:pt>
                <c:pt idx="70">
                  <c:v>6259.3653300000005</c:v>
                </c:pt>
                <c:pt idx="71">
                  <c:v>6377.9160800000009</c:v>
                </c:pt>
                <c:pt idx="72">
                  <c:v>6496.8239300000005</c:v>
                </c:pt>
                <c:pt idx="73">
                  <c:v>6616.0912800000006</c:v>
                </c:pt>
                <c:pt idx="74">
                  <c:v>6735.7212500000005</c:v>
                </c:pt>
                <c:pt idx="75">
                  <c:v>6855.7176800000016</c:v>
                </c:pt>
                <c:pt idx="76">
                  <c:v>6976.0851299999995</c:v>
                </c:pt>
                <c:pt idx="77">
                  <c:v>7096.8288800000009</c:v>
                </c:pt>
                <c:pt idx="78">
                  <c:v>7217.9549299999999</c:v>
                </c:pt>
                <c:pt idx="79">
                  <c:v>7339.4700000000012</c:v>
                </c:pt>
                <c:pt idx="80">
                  <c:v>7461.3815300000006</c:v>
                </c:pt>
                <c:pt idx="81">
                  <c:v>7583.6976800000011</c:v>
                </c:pt>
                <c:pt idx="82">
                  <c:v>7706.4273300000004</c:v>
                </c:pt>
                <c:pt idx="83">
                  <c:v>7829.5800800000015</c:v>
                </c:pt>
                <c:pt idx="84">
                  <c:v>7953.1662500000002</c:v>
                </c:pt>
                <c:pt idx="85">
                  <c:v>8077.1968800000013</c:v>
                </c:pt>
                <c:pt idx="86">
                  <c:v>8201.6837300000025</c:v>
                </c:pt>
                <c:pt idx="87">
                  <c:v>8326.6392800000012</c:v>
                </c:pt>
                <c:pt idx="88">
                  <c:v>8452.0767300000025</c:v>
                </c:pt>
                <c:pt idx="89">
                  <c:v>8578.01</c:v>
                </c:pt>
                <c:pt idx="90">
                  <c:v>8704.4537299999993</c:v>
                </c:pt>
                <c:pt idx="91">
                  <c:v>8831.4232800000009</c:v>
                </c:pt>
                <c:pt idx="92">
                  <c:v>8958.9347300000009</c:v>
                </c:pt>
                <c:pt idx="93">
                  <c:v>9087.0048800000022</c:v>
                </c:pt>
                <c:pt idx="94">
                  <c:v>9215.6512500000008</c:v>
                </c:pt>
                <c:pt idx="95">
                  <c:v>9344.8920799999996</c:v>
                </c:pt>
                <c:pt idx="96">
                  <c:v>9474.7463300000018</c:v>
                </c:pt>
                <c:pt idx="97">
                  <c:v>9605.2336800000012</c:v>
                </c:pt>
                <c:pt idx="98">
                  <c:v>9736.3745299999991</c:v>
                </c:pt>
                <c:pt idx="99">
                  <c:v>9868.19</c:v>
                </c:pt>
                <c:pt idx="100">
                  <c:v>10000.701930000001</c:v>
                </c:pt>
                <c:pt idx="101">
                  <c:v>10133.93288</c:v>
                </c:pt>
                <c:pt idx="102">
                  <c:v>10267.906130000001</c:v>
                </c:pt>
                <c:pt idx="103">
                  <c:v>10402.645680000001</c:v>
                </c:pt>
                <c:pt idx="104">
                  <c:v>10538.176250000002</c:v>
                </c:pt>
                <c:pt idx="105">
                  <c:v>10674.523279999999</c:v>
                </c:pt>
                <c:pt idx="106">
                  <c:v>10811.71293</c:v>
                </c:pt>
                <c:pt idx="107">
                  <c:v>10949.772080000001</c:v>
                </c:pt>
                <c:pt idx="108">
                  <c:v>11088.72833</c:v>
                </c:pt>
                <c:pt idx="109">
                  <c:v>11228.610000000002</c:v>
                </c:pt>
                <c:pt idx="110">
                  <c:v>11369.446130000002</c:v>
                </c:pt>
                <c:pt idx="111">
                  <c:v>11511.26648</c:v>
                </c:pt>
                <c:pt idx="112">
                  <c:v>11654.101530000002</c:v>
                </c:pt>
                <c:pt idx="113">
                  <c:v>11797.982480000001</c:v>
                </c:pt>
                <c:pt idx="114">
                  <c:v>11942.94125</c:v>
                </c:pt>
                <c:pt idx="115">
                  <c:v>12089.010480000003</c:v>
                </c:pt>
                <c:pt idx="116">
                  <c:v>12236.223530000001</c:v>
                </c:pt>
                <c:pt idx="117">
                  <c:v>12384.614480000002</c:v>
                </c:pt>
                <c:pt idx="118">
                  <c:v>12534.218129999999</c:v>
                </c:pt>
                <c:pt idx="119">
                  <c:v>12685.070000000002</c:v>
                </c:pt>
                <c:pt idx="120">
                  <c:v>12837.206330000003</c:v>
                </c:pt>
                <c:pt idx="121">
                  <c:v>12990.664080000002</c:v>
                </c:pt>
                <c:pt idx="122">
                  <c:v>13145.48093</c:v>
                </c:pt>
                <c:pt idx="123">
                  <c:v>13301.695280000002</c:v>
                </c:pt>
                <c:pt idx="124">
                  <c:v>13459.346250000001</c:v>
                </c:pt>
                <c:pt idx="125">
                  <c:v>13618.473680000003</c:v>
                </c:pt>
                <c:pt idx="126">
                  <c:v>13779.118130000001</c:v>
                </c:pt>
                <c:pt idx="127">
                  <c:v>13941.320880000001</c:v>
                </c:pt>
                <c:pt idx="128">
                  <c:v>14105.12393</c:v>
                </c:pt>
                <c:pt idx="129">
                  <c:v>14270.570000000005</c:v>
                </c:pt>
                <c:pt idx="130">
                  <c:v>14437.702530000004</c:v>
                </c:pt>
                <c:pt idx="131">
                  <c:v>14606.565679999998</c:v>
                </c:pt>
                <c:pt idx="132">
                  <c:v>14777.204330000002</c:v>
                </c:pt>
                <c:pt idx="133">
                  <c:v>14949.664080000002</c:v>
                </c:pt>
                <c:pt idx="134">
                  <c:v>15123.991250000003</c:v>
                </c:pt>
                <c:pt idx="135">
                  <c:v>15300.232880000001</c:v>
                </c:pt>
                <c:pt idx="136">
                  <c:v>15478.436730000003</c:v>
                </c:pt>
                <c:pt idx="137">
                  <c:v>15658.651280000004</c:v>
                </c:pt>
                <c:pt idx="138">
                  <c:v>15840.925730000001</c:v>
                </c:pt>
                <c:pt idx="139">
                  <c:v>16025.310000000003</c:v>
                </c:pt>
                <c:pt idx="140">
                  <c:v>16211.854730000001</c:v>
                </c:pt>
                <c:pt idx="141">
                  <c:v>16400.611280000001</c:v>
                </c:pt>
                <c:pt idx="142">
                  <c:v>16591.631730000001</c:v>
                </c:pt>
                <c:pt idx="143">
                  <c:v>16784.96888</c:v>
                </c:pt>
                <c:pt idx="144">
                  <c:v>16980.676249999997</c:v>
                </c:pt>
                <c:pt idx="145">
                  <c:v>17178.808079999999</c:v>
                </c:pt>
                <c:pt idx="146">
                  <c:v>17379.419330000001</c:v>
                </c:pt>
                <c:pt idx="147">
                  <c:v>17582.565680000003</c:v>
                </c:pt>
                <c:pt idx="148">
                  <c:v>17788.303530000001</c:v>
                </c:pt>
                <c:pt idx="149">
                  <c:v>17996.689999999999</c:v>
                </c:pt>
                <c:pt idx="150">
                  <c:v>18207.782929999998</c:v>
                </c:pt>
                <c:pt idx="151">
                  <c:v>18421.640879999999</c:v>
                </c:pt>
                <c:pt idx="152">
                  <c:v>18638.323130000001</c:v>
                </c:pt>
                <c:pt idx="153">
                  <c:v>18857.889679999997</c:v>
                </c:pt>
                <c:pt idx="154">
                  <c:v>19080.401249999999</c:v>
                </c:pt>
                <c:pt idx="155">
                  <c:v>19305.919279999998</c:v>
                </c:pt>
                <c:pt idx="156">
                  <c:v>19534.505930000003</c:v>
                </c:pt>
                <c:pt idx="157">
                  <c:v>19766.22408</c:v>
                </c:pt>
                <c:pt idx="158">
                  <c:v>20001.137329999994</c:v>
                </c:pt>
                <c:pt idx="159">
                  <c:v>20239.309999999998</c:v>
                </c:pt>
                <c:pt idx="160">
                  <c:v>20480.807129999997</c:v>
                </c:pt>
                <c:pt idx="161">
                  <c:v>20725.694480000002</c:v>
                </c:pt>
                <c:pt idx="162">
                  <c:v>20974.038529999994</c:v>
                </c:pt>
                <c:pt idx="163">
                  <c:v>21225.906480000001</c:v>
                </c:pt>
                <c:pt idx="164">
                  <c:v>21481.366250000003</c:v>
                </c:pt>
                <c:pt idx="165">
                  <c:v>21740.486480000003</c:v>
                </c:pt>
                <c:pt idx="166">
                  <c:v>22003.33653</c:v>
                </c:pt>
                <c:pt idx="167">
                  <c:v>22269.986480000003</c:v>
                </c:pt>
                <c:pt idx="168">
                  <c:v>22540.507130000002</c:v>
                </c:pt>
                <c:pt idx="169">
                  <c:v>22814.969999999998</c:v>
                </c:pt>
                <c:pt idx="170">
                  <c:v>23093.447329999999</c:v>
                </c:pt>
                <c:pt idx="171">
                  <c:v>23376.012080000004</c:v>
                </c:pt>
                <c:pt idx="172">
                  <c:v>23662.737930000007</c:v>
                </c:pt>
                <c:pt idx="173">
                  <c:v>23953.699280000004</c:v>
                </c:pt>
                <c:pt idx="174">
                  <c:v>24248.971249999999</c:v>
                </c:pt>
                <c:pt idx="175">
                  <c:v>24548.629680000002</c:v>
                </c:pt>
                <c:pt idx="176">
                  <c:v>24852.751129999997</c:v>
                </c:pt>
                <c:pt idx="177">
                  <c:v>25161.412880000007</c:v>
                </c:pt>
                <c:pt idx="178">
                  <c:v>25474.692930000001</c:v>
                </c:pt>
                <c:pt idx="179">
                  <c:v>25792.670000000002</c:v>
                </c:pt>
                <c:pt idx="180">
                  <c:v>26115.423530000004</c:v>
                </c:pt>
                <c:pt idx="181">
                  <c:v>26443.033679999997</c:v>
                </c:pt>
                <c:pt idx="182">
                  <c:v>26775.581330000001</c:v>
                </c:pt>
                <c:pt idx="183">
                  <c:v>27113.148079999995</c:v>
                </c:pt>
                <c:pt idx="184">
                  <c:v>27455.816249999996</c:v>
                </c:pt>
                <c:pt idx="185">
                  <c:v>27803.668880000001</c:v>
                </c:pt>
                <c:pt idx="186">
                  <c:v>28156.789730000008</c:v>
                </c:pt>
                <c:pt idx="187">
                  <c:v>28515.263280000003</c:v>
                </c:pt>
                <c:pt idx="188">
                  <c:v>28879.174729999995</c:v>
                </c:pt>
                <c:pt idx="189">
                  <c:v>29248.610000000004</c:v>
                </c:pt>
                <c:pt idx="190">
                  <c:v>29623.655730000002</c:v>
                </c:pt>
                <c:pt idx="191">
                  <c:v>30004.399279999998</c:v>
                </c:pt>
                <c:pt idx="192">
                  <c:v>30390.928730000003</c:v>
                </c:pt>
                <c:pt idx="193">
                  <c:v>30783.332880000002</c:v>
                </c:pt>
                <c:pt idx="194">
                  <c:v>31181.701250000002</c:v>
                </c:pt>
                <c:pt idx="195">
                  <c:v>31586.124079999998</c:v>
                </c:pt>
                <c:pt idx="196">
                  <c:v>31996.692330000002</c:v>
                </c:pt>
                <c:pt idx="197">
                  <c:v>32413.497679999997</c:v>
                </c:pt>
                <c:pt idx="198">
                  <c:v>32836.63253000001</c:v>
                </c:pt>
                <c:pt idx="199">
                  <c:v>33266.19</c:v>
                </c:pt>
                <c:pt idx="200">
                  <c:v>33702.263930000016</c:v>
                </c:pt>
                <c:pt idx="201">
                  <c:v>34144.948880000011</c:v>
                </c:pt>
                <c:pt idx="202">
                  <c:v>34594.340130000011</c:v>
                </c:pt>
                <c:pt idx="203">
                  <c:v>35050.53368</c:v>
                </c:pt>
                <c:pt idx="204">
                  <c:v>35513.626250000001</c:v>
                </c:pt>
                <c:pt idx="205">
                  <c:v>35983.715280000011</c:v>
                </c:pt>
                <c:pt idx="206">
                  <c:v>36460.89893000001</c:v>
                </c:pt>
                <c:pt idx="207">
                  <c:v>36945.276080000011</c:v>
                </c:pt>
                <c:pt idx="208">
                  <c:v>37436.946330000013</c:v>
                </c:pt>
                <c:pt idx="209">
                  <c:v>37936.010000000009</c:v>
                </c:pt>
                <c:pt idx="210">
                  <c:v>38442.56813</c:v>
                </c:pt>
                <c:pt idx="211">
                  <c:v>38956.722479999997</c:v>
                </c:pt>
                <c:pt idx="212">
                  <c:v>39478.575530000009</c:v>
                </c:pt>
                <c:pt idx="213">
                  <c:v>40008.230479999998</c:v>
                </c:pt>
                <c:pt idx="214">
                  <c:v>40545.791250000009</c:v>
                </c:pt>
                <c:pt idx="215">
                  <c:v>41091.362480000003</c:v>
                </c:pt>
                <c:pt idx="216">
                  <c:v>41645.049530000004</c:v>
                </c:pt>
                <c:pt idx="217">
                  <c:v>42206.958480000008</c:v>
                </c:pt>
                <c:pt idx="218">
                  <c:v>42777.196129999997</c:v>
                </c:pt>
                <c:pt idx="219">
                  <c:v>43355.87000000001</c:v>
                </c:pt>
                <c:pt idx="220">
                  <c:v>43943.088329999991</c:v>
                </c:pt>
                <c:pt idx="221">
                  <c:v>44538.960080000012</c:v>
                </c:pt>
                <c:pt idx="222">
                  <c:v>45143.594929999992</c:v>
                </c:pt>
                <c:pt idx="223">
                  <c:v>45757.103279999996</c:v>
                </c:pt>
                <c:pt idx="224">
                  <c:v>46379.596250000002</c:v>
                </c:pt>
                <c:pt idx="225">
                  <c:v>47011.18568000001</c:v>
                </c:pt>
                <c:pt idx="226">
                  <c:v>47651.984130000004</c:v>
                </c:pt>
                <c:pt idx="227">
                  <c:v>48302.104879999999</c:v>
                </c:pt>
                <c:pt idx="228">
                  <c:v>48961.661930000009</c:v>
                </c:pt>
                <c:pt idx="229">
                  <c:v>49630.77</c:v>
                </c:pt>
                <c:pt idx="230">
                  <c:v>50309.544530000014</c:v>
                </c:pt>
                <c:pt idx="231">
                  <c:v>50998.101680000014</c:v>
                </c:pt>
                <c:pt idx="232">
                  <c:v>51696.55833</c:v>
                </c:pt>
                <c:pt idx="233">
                  <c:v>52405.032080000012</c:v>
                </c:pt>
                <c:pt idx="234">
                  <c:v>53123.641250000001</c:v>
                </c:pt>
                <c:pt idx="235">
                  <c:v>53852.50488</c:v>
                </c:pt>
                <c:pt idx="236">
                  <c:v>54591.742729999998</c:v>
                </c:pt>
                <c:pt idx="237">
                  <c:v>55341.475280000006</c:v>
                </c:pt>
                <c:pt idx="238">
                  <c:v>56101.823729999996</c:v>
                </c:pt>
                <c:pt idx="239">
                  <c:v>56872.910000000011</c:v>
                </c:pt>
                <c:pt idx="240">
                  <c:v>57654.856730000007</c:v>
                </c:pt>
                <c:pt idx="241">
                  <c:v>58447.787280000019</c:v>
                </c:pt>
                <c:pt idx="242">
                  <c:v>59251.825730000004</c:v>
                </c:pt>
                <c:pt idx="243">
                  <c:v>60067.096880000012</c:v>
                </c:pt>
                <c:pt idx="244">
                  <c:v>60893.726250000014</c:v>
                </c:pt>
                <c:pt idx="245">
                  <c:v>61731.840079999987</c:v>
                </c:pt>
                <c:pt idx="246">
                  <c:v>62581.565330000012</c:v>
                </c:pt>
                <c:pt idx="247">
                  <c:v>63443.02968</c:v>
                </c:pt>
                <c:pt idx="248">
                  <c:v>64316.361530000002</c:v>
                </c:pt>
                <c:pt idx="249">
                  <c:v>65201.69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D-1847-B768-B7441A680589}"/>
            </c:ext>
          </c:extLst>
        </c:ser>
        <c:ser>
          <c:idx val="1"/>
          <c:order val="1"/>
          <c:spPr>
            <a:ln w="19050" cmpd="sng">
              <a:solidFill>
                <a:srgbClr val="EA4335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'Forecast DMG REDUC'!$A$2:$A$314</c:f>
              <c:numCache>
                <c:formatCode>General</c:formatCode>
                <c:ptCount val="3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</c:numCache>
            </c:numRef>
          </c:cat>
          <c:val>
            <c:numRef>
              <c:f>'Forecast DMG REDUC'!$C$2:$C$314</c:f>
              <c:numCache>
                <c:formatCode>General</c:formatCode>
                <c:ptCount val="313"/>
                <c:pt idx="249" formatCode="_-* #,##0.00_-;\-* #,##0.00_-;_-* &quot;-&quot;??_-;_-@">
                  <c:v>65201.69</c:v>
                </c:pt>
                <c:pt idx="250" formatCode="_-* #,##0.00_-;\-* #,##0.00_-;_-* &quot;-&quot;??_-;_-@">
                  <c:v>66085.656347703276</c:v>
                </c:pt>
                <c:pt idx="251" formatCode="_-* #,##0.00_-;\-* #,##0.00_-;_-* &quot;-&quot;??_-;_-@">
                  <c:v>66970.957111011172</c:v>
                </c:pt>
                <c:pt idx="252" formatCode="_-* #,##0.00_-;\-* #,##0.00_-;_-* &quot;-&quot;??_-;_-@">
                  <c:v>67856.257874319082</c:v>
                </c:pt>
                <c:pt idx="253" formatCode="_-* #,##0.00_-;\-* #,##0.00_-;_-* &quot;-&quot;??_-;_-@">
                  <c:v>68741.558637626978</c:v>
                </c:pt>
                <c:pt idx="254" formatCode="_-* #,##0.00_-;\-* #,##0.00_-;_-* &quot;-&quot;??_-;_-@">
                  <c:v>69626.859400934889</c:v>
                </c:pt>
                <c:pt idx="255" formatCode="_-* #,##0.00_-;\-* #,##0.00_-;_-* &quot;-&quot;??_-;_-@">
                  <c:v>70512.160164242785</c:v>
                </c:pt>
                <c:pt idx="256" formatCode="_-* #,##0.00_-;\-* #,##0.00_-;_-* &quot;-&quot;??_-;_-@">
                  <c:v>71397.460927550681</c:v>
                </c:pt>
                <c:pt idx="257" formatCode="_-* #,##0.00_-;\-* #,##0.00_-;_-* &quot;-&quot;??_-;_-@">
                  <c:v>72282.761690858591</c:v>
                </c:pt>
                <c:pt idx="258" formatCode="_-* #,##0.00_-;\-* #,##0.00_-;_-* &quot;-&quot;??_-;_-@">
                  <c:v>73168.062454166487</c:v>
                </c:pt>
                <c:pt idx="259" formatCode="_-* #,##0.00_-;\-* #,##0.00_-;_-* &quot;-&quot;??_-;_-@">
                  <c:v>74053.363217474398</c:v>
                </c:pt>
                <c:pt idx="260" formatCode="_-* #,##0.00_-;\-* #,##0.00_-;_-* &quot;-&quot;??_-;_-@">
                  <c:v>74938.663980782294</c:v>
                </c:pt>
                <c:pt idx="261" formatCode="_-* #,##0.00_-;\-* #,##0.00_-;_-* &quot;-&quot;??_-;_-@">
                  <c:v>75823.96474409019</c:v>
                </c:pt>
                <c:pt idx="262" formatCode="_-* #,##0.00_-;\-* #,##0.00_-;_-* &quot;-&quot;??_-;_-@">
                  <c:v>76709.2655073981</c:v>
                </c:pt>
                <c:pt idx="263" formatCode="_-* #,##0.00_-;\-* #,##0.00_-;_-* &quot;-&quot;??_-;_-@">
                  <c:v>77594.566270705996</c:v>
                </c:pt>
                <c:pt idx="264" formatCode="_-* #,##0.00_-;\-* #,##0.00_-;_-* &quot;-&quot;??_-;_-@">
                  <c:v>78479.867034013907</c:v>
                </c:pt>
                <c:pt idx="265" formatCode="_-* #,##0.00_-;\-* #,##0.00_-;_-* &quot;-&quot;??_-;_-@">
                  <c:v>79365.167797321803</c:v>
                </c:pt>
                <c:pt idx="266" formatCode="_-* #,##0.00_-;\-* #,##0.00_-;_-* &quot;-&quot;??_-;_-@">
                  <c:v>80250.468560629699</c:v>
                </c:pt>
                <c:pt idx="267" formatCode="_-* #,##0.00_-;\-* #,##0.00_-;_-* &quot;-&quot;??_-;_-@">
                  <c:v>81135.769323937609</c:v>
                </c:pt>
                <c:pt idx="268" formatCode="_-* #,##0.00_-;\-* #,##0.00_-;_-* &quot;-&quot;??_-;_-@">
                  <c:v>82021.070087245505</c:v>
                </c:pt>
                <c:pt idx="269" formatCode="_-* #,##0.00_-;\-* #,##0.00_-;_-* &quot;-&quot;??_-;_-@">
                  <c:v>82906.370850553416</c:v>
                </c:pt>
                <c:pt idx="270" formatCode="_-* #,##0.00_-;\-* #,##0.00_-;_-* &quot;-&quot;??_-;_-@">
                  <c:v>83791.671613861312</c:v>
                </c:pt>
                <c:pt idx="271" formatCode="_-* #,##0.00_-;\-* #,##0.00_-;_-* &quot;-&quot;??_-;_-@">
                  <c:v>84676.972377169208</c:v>
                </c:pt>
                <c:pt idx="272" formatCode="_-* #,##0.00_-;\-* #,##0.00_-;_-* &quot;-&quot;??_-;_-@">
                  <c:v>85562.273140477118</c:v>
                </c:pt>
                <c:pt idx="273" formatCode="_-* #,##0.00_-;\-* #,##0.00_-;_-* &quot;-&quot;??_-;_-@">
                  <c:v>86447.573903785014</c:v>
                </c:pt>
                <c:pt idx="274" formatCode="_-* #,##0.00_-;\-* #,##0.00_-;_-* &quot;-&quot;??_-;_-@">
                  <c:v>87332.874667092925</c:v>
                </c:pt>
                <c:pt idx="275" formatCode="_-* #,##0.00_-;\-* #,##0.00_-;_-* &quot;-&quot;??_-;_-@">
                  <c:v>88218.175430400821</c:v>
                </c:pt>
                <c:pt idx="276" formatCode="_-* #,##0.00_-;\-* #,##0.00_-;_-* &quot;-&quot;??_-;_-@">
                  <c:v>89103.476193708717</c:v>
                </c:pt>
                <c:pt idx="277" formatCode="_-* #,##0.00_-;\-* #,##0.00_-;_-* &quot;-&quot;??_-;_-@">
                  <c:v>89988.776957016627</c:v>
                </c:pt>
                <c:pt idx="278" formatCode="_-* #,##0.00_-;\-* #,##0.00_-;_-* &quot;-&quot;??_-;_-@">
                  <c:v>90874.077720324523</c:v>
                </c:pt>
                <c:pt idx="279" formatCode="_-* #,##0.00_-;\-* #,##0.00_-;_-* &quot;-&quot;??_-;_-@">
                  <c:v>91759.378483632434</c:v>
                </c:pt>
                <c:pt idx="280" formatCode="_-* #,##0.00_-;\-* #,##0.00_-;_-* &quot;-&quot;??_-;_-@">
                  <c:v>92644.67924694033</c:v>
                </c:pt>
                <c:pt idx="281" formatCode="_-* #,##0.00_-;\-* #,##0.00_-;_-* &quot;-&quot;??_-;_-@">
                  <c:v>93529.980010248226</c:v>
                </c:pt>
                <c:pt idx="282" formatCode="_-* #,##0.00_-;\-* #,##0.00_-;_-* &quot;-&quot;??_-;_-@">
                  <c:v>94415.280773556136</c:v>
                </c:pt>
                <c:pt idx="283" formatCode="_-* #,##0.00_-;\-* #,##0.00_-;_-* &quot;-&quot;??_-;_-@">
                  <c:v>95300.581536864032</c:v>
                </c:pt>
                <c:pt idx="284" formatCode="_-* #,##0.00_-;\-* #,##0.00_-;_-* &quot;-&quot;??_-;_-@">
                  <c:v>96185.882300171943</c:v>
                </c:pt>
                <c:pt idx="285" formatCode="_-* #,##0.00_-;\-* #,##0.00_-;_-* &quot;-&quot;??_-;_-@">
                  <c:v>97071.183063479839</c:v>
                </c:pt>
                <c:pt idx="286" formatCode="_-* #,##0.00_-;\-* #,##0.00_-;_-* &quot;-&quot;??_-;_-@">
                  <c:v>97956.483826787735</c:v>
                </c:pt>
                <c:pt idx="287" formatCode="_-* #,##0.00_-;\-* #,##0.00_-;_-* &quot;-&quot;??_-;_-@">
                  <c:v>98841.784590095631</c:v>
                </c:pt>
                <c:pt idx="288" formatCode="_-* #,##0.00_-;\-* #,##0.00_-;_-* &quot;-&quot;??_-;_-@">
                  <c:v>99727.085353403541</c:v>
                </c:pt>
                <c:pt idx="289" formatCode="_-* #,##0.00_-;\-* #,##0.00_-;_-* &quot;-&quot;??_-;_-@">
                  <c:v>100612.38611671145</c:v>
                </c:pt>
                <c:pt idx="290" formatCode="_-* #,##0.00_-;\-* #,##0.00_-;_-* &quot;-&quot;??_-;_-@">
                  <c:v>101497.68688001935</c:v>
                </c:pt>
                <c:pt idx="291" formatCode="_-* #,##0.00_-;\-* #,##0.00_-;_-* &quot;-&quot;??_-;_-@">
                  <c:v>102382.98764332724</c:v>
                </c:pt>
                <c:pt idx="292" formatCode="_-* #,##0.00_-;\-* #,##0.00_-;_-* &quot;-&quot;??_-;_-@">
                  <c:v>103268.28840663514</c:v>
                </c:pt>
                <c:pt idx="293" formatCode="_-* #,##0.00_-;\-* #,##0.00_-;_-* &quot;-&quot;??_-;_-@">
                  <c:v>104153.58916994305</c:v>
                </c:pt>
                <c:pt idx="294" formatCode="_-* #,##0.00_-;\-* #,##0.00_-;_-* &quot;-&quot;??_-;_-@">
                  <c:v>105038.88993325096</c:v>
                </c:pt>
                <c:pt idx="295" formatCode="_-* #,##0.00_-;\-* #,##0.00_-;_-* &quot;-&quot;??_-;_-@">
                  <c:v>105924.19069655886</c:v>
                </c:pt>
                <c:pt idx="296" formatCode="_-* #,##0.00_-;\-* #,##0.00_-;_-* &quot;-&quot;??_-;_-@">
                  <c:v>106809.49145986675</c:v>
                </c:pt>
                <c:pt idx="297" formatCode="_-* #,##0.00_-;\-* #,##0.00_-;_-* &quot;-&quot;??_-;_-@">
                  <c:v>107694.79222317465</c:v>
                </c:pt>
                <c:pt idx="298" formatCode="_-* #,##0.00_-;\-* #,##0.00_-;_-* &quot;-&quot;??_-;_-@">
                  <c:v>108580.09298648256</c:v>
                </c:pt>
                <c:pt idx="299" formatCode="_-* #,##0.00_-;\-* #,##0.00_-;_-* &quot;-&quot;??_-;_-@">
                  <c:v>109465.39374979047</c:v>
                </c:pt>
                <c:pt idx="300" formatCode="_-* #,##0.00_-;\-* #,##0.00_-;_-* &quot;-&quot;??_-;_-@">
                  <c:v>110350.69451309837</c:v>
                </c:pt>
                <c:pt idx="301" formatCode="_-* #,##0.00_-;\-* #,##0.00_-;_-* &quot;-&quot;??_-;_-@">
                  <c:v>111235.99527640626</c:v>
                </c:pt>
                <c:pt idx="302" formatCode="_-* #,##0.00_-;\-* #,##0.00_-;_-* &quot;-&quot;??_-;_-@">
                  <c:v>112121.29603971416</c:v>
                </c:pt>
                <c:pt idx="303" formatCode="_-* #,##0.00_-;\-* #,##0.00_-;_-* &quot;-&quot;??_-;_-@">
                  <c:v>113006.59680302207</c:v>
                </c:pt>
                <c:pt idx="304" formatCode="_-* #,##0.00_-;\-* #,##0.00_-;_-* &quot;-&quot;??_-;_-@">
                  <c:v>113891.89756632998</c:v>
                </c:pt>
                <c:pt idx="305" formatCode="_-* #,##0.00_-;\-* #,##0.00_-;_-* &quot;-&quot;??_-;_-@">
                  <c:v>114777.19832963787</c:v>
                </c:pt>
                <c:pt idx="306" formatCode="_-* #,##0.00_-;\-* #,##0.00_-;_-* &quot;-&quot;??_-;_-@">
                  <c:v>115662.49909294577</c:v>
                </c:pt>
                <c:pt idx="307" formatCode="_-* #,##0.00_-;\-* #,##0.00_-;_-* &quot;-&quot;??_-;_-@">
                  <c:v>116547.79985625367</c:v>
                </c:pt>
                <c:pt idx="308" formatCode="_-* #,##0.00_-;\-* #,##0.00_-;_-* &quot;-&quot;??_-;_-@">
                  <c:v>117433.10061956158</c:v>
                </c:pt>
                <c:pt idx="309" formatCode="_-* #,##0.00_-;\-* #,##0.00_-;_-* &quot;-&quot;??_-;_-@">
                  <c:v>118318.40138286949</c:v>
                </c:pt>
                <c:pt idx="310" formatCode="_-* #,##0.00_-;\-* #,##0.00_-;_-* &quot;-&quot;??_-;_-@">
                  <c:v>119203.70214617738</c:v>
                </c:pt>
                <c:pt idx="311" formatCode="_-* #,##0.00_-;\-* #,##0.00_-;_-* &quot;-&quot;??_-;_-@">
                  <c:v>120089.00290948528</c:v>
                </c:pt>
                <c:pt idx="312" formatCode="_-* #,##0.00_-;\-* #,##0.00_-;_-* &quot;-&quot;??_-;_-@">
                  <c:v>120974.30367279318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D-1847-B768-B7441A680589}"/>
            </c:ext>
          </c:extLst>
        </c:ser>
        <c:ser>
          <c:idx val="2"/>
          <c:order val="2"/>
          <c:spPr>
            <a:ln w="9525"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'Forecast DMG REDUC'!$A$2:$A$314</c:f>
              <c:numCache>
                <c:formatCode>General</c:formatCode>
                <c:ptCount val="3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</c:numCache>
            </c:numRef>
          </c:cat>
          <c:val>
            <c:numRef>
              <c:f>'Forecast DMG REDUC'!$D$2:$D$314</c:f>
              <c:numCache>
                <c:formatCode>General</c:formatCode>
                <c:ptCount val="313"/>
                <c:pt idx="249" formatCode="_-* #,##0.00_-;\-* #,##0.00_-;_-* &quot;-&quot;??_-;_-@">
                  <c:v>65201.69</c:v>
                </c:pt>
                <c:pt idx="250" formatCode="_-* #,##0.00_-;\-* #,##0.00_-;_-* &quot;-&quot;??_-;_-@">
                  <c:v>66062.283265130449</c:v>
                </c:pt>
                <c:pt idx="251" formatCode="_-* #,##0.00_-;\-* #,##0.00_-;_-* &quot;-&quot;??_-;_-@">
                  <c:v>66922.849418737314</c:v>
                </c:pt>
                <c:pt idx="252" formatCode="_-* #,##0.00_-;\-* #,##0.00_-;_-* &quot;-&quot;??_-;_-@">
                  <c:v>67776.942135654346</c:v>
                </c:pt>
                <c:pt idx="253" formatCode="_-* #,##0.00_-;\-* #,##0.00_-;_-* &quot;-&quot;??_-;_-@">
                  <c:v>68625.976407019683</c:v>
                </c:pt>
                <c:pt idx="254" formatCode="_-* #,##0.00_-;\-* #,##0.00_-;_-* &quot;-&quot;??_-;_-@">
                  <c:v>69470.647400871705</c:v>
                </c:pt>
                <c:pt idx="255" formatCode="_-* #,##0.00_-;\-* #,##0.00_-;_-* &quot;-&quot;??_-;_-@">
                  <c:v>70311.404493822658</c:v>
                </c:pt>
                <c:pt idx="256" formatCode="_-* #,##0.00_-;\-* #,##0.00_-;_-* &quot;-&quot;??_-;_-@">
                  <c:v>71148.574919969731</c:v>
                </c:pt>
                <c:pt idx="257" formatCode="_-* #,##0.00_-;\-* #,##0.00_-;_-* &quot;-&quot;??_-;_-@">
                  <c:v>71982.412814273121</c:v>
                </c:pt>
                <c:pt idx="258" formatCode="_-* #,##0.00_-;\-* #,##0.00_-;_-* &quot;-&quot;??_-;_-@">
                  <c:v>72813.123741278352</c:v>
                </c:pt>
                <c:pt idx="259" formatCode="_-* #,##0.00_-;\-* #,##0.00_-;_-* &quot;-&quot;??_-;_-@">
                  <c:v>73640.87877715897</c:v>
                </c:pt>
                <c:pt idx="260" formatCode="_-* #,##0.00_-;\-* #,##0.00_-;_-* &quot;-&quot;??_-;_-@">
                  <c:v>74465.823351749379</c:v>
                </c:pt>
                <c:pt idx="261" formatCode="_-* #,##0.00_-;\-* #,##0.00_-;_-* &quot;-&quot;??_-;_-@">
                  <c:v>75288.083159406058</c:v>
                </c:pt>
                <c:pt idx="262" formatCode="_-* #,##0.00_-;\-* #,##0.00_-;_-* &quot;-&quot;??_-;_-@">
                  <c:v>76107.768298317722</c:v>
                </c:pt>
                <c:pt idx="263" formatCode="_-* #,##0.00_-;\-* #,##0.00_-;_-* &quot;-&quot;??_-;_-@">
                  <c:v>76924.976275515583</c:v>
                </c:pt>
                <c:pt idx="264" formatCode="_-* #,##0.00_-;\-* #,##0.00_-;_-* &quot;-&quot;??_-;_-@">
                  <c:v>77739.794252324427</c:v>
                </c:pt>
                <c:pt idx="265" formatCode="_-* #,##0.00_-;\-* #,##0.00_-;_-* &quot;-&quot;??_-;_-@">
                  <c:v>78552.300762587271</c:v>
                </c:pt>
                <c:pt idx="266" formatCode="_-* #,##0.00_-;\-* #,##0.00_-;_-* &quot;-&quot;??_-;_-@">
                  <c:v>79362.567053956911</c:v>
                </c:pt>
                <c:pt idx="267" formatCode="_-* #,##0.00_-;\-* #,##0.00_-;_-* &quot;-&quot;??_-;_-@">
                  <c:v>80170.658152937176</c:v>
                </c:pt>
                <c:pt idx="268" formatCode="_-* #,##0.00_-;\-* #,##0.00_-;_-* &quot;-&quot;??_-;_-@">
                  <c:v>80976.633723131672</c:v>
                </c:pt>
                <c:pt idx="269" formatCode="_-* #,##0.00_-;\-* #,##0.00_-;_-* &quot;-&quot;??_-;_-@">
                  <c:v>81780.548765833344</c:v>
                </c:pt>
                <c:pt idx="270" formatCode="_-* #,##0.00_-;\-* #,##0.00_-;_-* &quot;-&quot;??_-;_-@">
                  <c:v>82582.45419847178</c:v>
                </c:pt>
                <c:pt idx="271" formatCode="_-* #,##0.00_-;\-* #,##0.00_-;_-* &quot;-&quot;??_-;_-@">
                  <c:v>83382.397337085335</c:v>
                </c:pt>
                <c:pt idx="272" formatCode="_-* #,##0.00_-;\-* #,##0.00_-;_-* &quot;-&quot;??_-;_-@">
                  <c:v>84180.422302421473</c:v>
                </c:pt>
                <c:pt idx="273" formatCode="_-* #,##0.00_-;\-* #,##0.00_-;_-* &quot;-&quot;??_-;_-@">
                  <c:v>84976.570364573359</c:v>
                </c:pt>
                <c:pt idx="274" formatCode="_-* #,##0.00_-;\-* #,##0.00_-;_-* &quot;-&quot;??_-;_-@">
                  <c:v>85770.880237642632</c:v>
                </c:pt>
                <c:pt idx="275" formatCode="_-* #,##0.00_-;\-* #,##0.00_-;_-* &quot;-&quot;??_-;_-@">
                  <c:v>86563.388333391718</c:v>
                </c:pt>
                <c:pt idx="276" formatCode="_-* #,##0.00_-;\-* #,##0.00_-;_-* &quot;-&quot;??_-;_-@">
                  <c:v>87354.128980955749</c:v>
                </c:pt>
                <c:pt idx="277" formatCode="_-* #,##0.00_-;\-* #,##0.00_-;_-* &quot;-&quot;??_-;_-@">
                  <c:v>88143.134618246419</c:v>
                </c:pt>
                <c:pt idx="278" formatCode="_-* #,##0.00_-;\-* #,##0.00_-;_-* &quot;-&quot;??_-;_-@">
                  <c:v>88930.435959576731</c:v>
                </c:pt>
                <c:pt idx="279" formatCode="_-* #,##0.00_-;\-* #,##0.00_-;_-* &quot;-&quot;??_-;_-@">
                  <c:v>89716.06214317937</c:v>
                </c:pt>
                <c:pt idx="280" formatCode="_-* #,##0.00_-;\-* #,##0.00_-;_-* &quot;-&quot;??_-;_-@">
                  <c:v>90500.040861619505</c:v>
                </c:pt>
                <c:pt idx="281" formatCode="_-* #,##0.00_-;\-* #,##0.00_-;_-* &quot;-&quot;??_-;_-@">
                  <c:v>91282.398477573384</c:v>
                </c:pt>
                <c:pt idx="282" formatCode="_-* #,##0.00_-;\-* #,##0.00_-;_-* &quot;-&quot;??_-;_-@">
                  <c:v>92063.160127019903</c:v>
                </c:pt>
                <c:pt idx="283" formatCode="_-* #,##0.00_-;\-* #,##0.00_-;_-* &quot;-&quot;??_-;_-@">
                  <c:v>92842.349811552966</c:v>
                </c:pt>
                <c:pt idx="284" formatCode="_-* #,##0.00_-;\-* #,##0.00_-;_-* &quot;-&quot;??_-;_-@">
                  <c:v>93619.990481247471</c:v>
                </c:pt>
                <c:pt idx="285" formatCode="_-* #,##0.00_-;\-* #,##0.00_-;_-* &quot;-&quot;??_-;_-@">
                  <c:v>94396.10410928684</c:v>
                </c:pt>
                <c:pt idx="286" formatCode="_-* #,##0.00_-;\-* #,##0.00_-;_-* &quot;-&quot;??_-;_-@">
                  <c:v>95170.711759377111</c:v>
                </c:pt>
                <c:pt idx="287" formatCode="_-* #,##0.00_-;\-* #,##0.00_-;_-* &quot;-&quot;??_-;_-@">
                  <c:v>95943.833646820101</c:v>
                </c:pt>
                <c:pt idx="288" formatCode="_-* #,##0.00_-;\-* #,##0.00_-;_-* &quot;-&quot;??_-;_-@">
                  <c:v>96715.489193992995</c:v>
                </c:pt>
                <c:pt idx="289" formatCode="_-* #,##0.00_-;\-* #,##0.00_-;_-* &quot;-&quot;??_-;_-@">
                  <c:v>97485.697080876445</c:v>
                </c:pt>
                <c:pt idx="290" formatCode="_-* #,##0.00_-;\-* #,##0.00_-;_-* &quot;-&quot;??_-;_-@">
                  <c:v>98254.475291185518</c:v>
                </c:pt>
                <c:pt idx="291" formatCode="_-* #,##0.00_-;\-* #,##0.00_-;_-* &quot;-&quot;??_-;_-@">
                  <c:v>99021.841154583657</c:v>
                </c:pt>
                <c:pt idx="292" formatCode="_-* #,##0.00_-;\-* #,##0.00_-;_-* &quot;-&quot;??_-;_-@">
                  <c:v>99787.81138539745</c:v>
                </c:pt>
                <c:pt idx="293" formatCode="_-* #,##0.00_-;\-* #,##0.00_-;_-* &quot;-&quot;??_-;_-@">
                  <c:v>100552.40211819633</c:v>
                </c:pt>
                <c:pt idx="294" formatCode="_-* #,##0.00_-;\-* #,##0.00_-;_-* &quot;-&quot;??_-;_-@">
                  <c:v>101315.62894055675</c:v>
                </c:pt>
                <c:pt idx="295" formatCode="_-* #,##0.00_-;\-* #,##0.00_-;_-* &quot;-&quot;??_-;_-@">
                  <c:v>102077.50692329067</c:v>
                </c:pt>
                <c:pt idx="296" formatCode="_-* #,##0.00_-;\-* #,##0.00_-;_-* &quot;-&quot;??_-;_-@">
                  <c:v>102838.05064838548</c:v>
                </c:pt>
                <c:pt idx="297" formatCode="_-* #,##0.00_-;\-* #,##0.00_-;_-* &quot;-&quot;??_-;_-@">
                  <c:v>103597.27423487342</c:v>
                </c:pt>
                <c:pt idx="298" formatCode="_-* #,##0.00_-;\-* #,##0.00_-;_-* &quot;-&quot;??_-;_-@">
                  <c:v>104355.19136282369</c:v>
                </c:pt>
                <c:pt idx="299" formatCode="_-* #,##0.00_-;\-* #,##0.00_-;_-* &quot;-&quot;??_-;_-@">
                  <c:v>105111.81529562891</c:v>
                </c:pt>
                <c:pt idx="300" formatCode="_-* #,##0.00_-;\-* #,##0.00_-;_-* &quot;-&quot;??_-;_-@">
                  <c:v>105867.15890073881</c:v>
                </c:pt>
                <c:pt idx="301" formatCode="_-* #,##0.00_-;\-* #,##0.00_-;_-* &quot;-&quot;??_-;_-@">
                  <c:v>106621.23466897749</c:v>
                </c:pt>
                <c:pt idx="302" formatCode="_-* #,##0.00_-;\-* #,##0.00_-;_-* &quot;-&quot;??_-;_-@">
                  <c:v>107374.05473256628</c:v>
                </c:pt>
                <c:pt idx="303" formatCode="_-* #,##0.00_-;\-* #,##0.00_-;_-* &quot;-&quot;??_-;_-@">
                  <c:v>108125.6308819618</c:v>
                </c:pt>
                <c:pt idx="304" formatCode="_-* #,##0.00_-;\-* #,##0.00_-;_-* &quot;-&quot;??_-;_-@">
                  <c:v>108875.97458160731</c:v>
                </c:pt>
                <c:pt idx="305" formatCode="_-* #,##0.00_-;\-* #,##0.00_-;_-* &quot;-&quot;??_-;_-@">
                  <c:v>109625.09698468604</c:v>
                </c:pt>
                <c:pt idx="306" formatCode="_-* #,##0.00_-;\-* #,##0.00_-;_-* &quot;-&quot;??_-;_-@">
                  <c:v>110373.00894695634</c:v>
                </c:pt>
                <c:pt idx="307" formatCode="_-* #,##0.00_-;\-* #,##0.00_-;_-* &quot;-&quot;??_-;_-@">
                  <c:v>111119.72103974092</c:v>
                </c:pt>
                <c:pt idx="308" formatCode="_-* #,##0.00_-;\-* #,##0.00_-;_-* &quot;-&quot;??_-;_-@">
                  <c:v>111865.24356213535</c:v>
                </c:pt>
                <c:pt idx="309" formatCode="_-* #,##0.00_-;\-* #,##0.00_-;_-* &quot;-&quot;??_-;_-@">
                  <c:v>112609.5865524953</c:v>
                </c:pt>
                <c:pt idx="310" formatCode="_-* #,##0.00_-;\-* #,##0.00_-;_-* &quot;-&quot;??_-;_-@">
                  <c:v>113352.75979925637</c:v>
                </c:pt>
                <c:pt idx="311" formatCode="_-* #,##0.00_-;\-* #,##0.00_-;_-* &quot;-&quot;??_-;_-@">
                  <c:v>114094.7728511357</c:v>
                </c:pt>
                <c:pt idx="312" formatCode="_-* #,##0.00_-;\-* #,##0.00_-;_-* &quot;-&quot;??_-;_-@">
                  <c:v>114835.63502675958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D-1847-B768-B7441A680589}"/>
            </c:ext>
          </c:extLst>
        </c:ser>
        <c:ser>
          <c:idx val="3"/>
          <c:order val="3"/>
          <c:spPr>
            <a:ln w="9525"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'Forecast DMG REDUC'!$A$2:$A$314</c:f>
              <c:numCache>
                <c:formatCode>General</c:formatCode>
                <c:ptCount val="3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</c:numCache>
            </c:numRef>
          </c:cat>
          <c:val>
            <c:numRef>
              <c:f>'Forecast DMG REDUC'!$E$2:$E$314</c:f>
              <c:numCache>
                <c:formatCode>General</c:formatCode>
                <c:ptCount val="313"/>
                <c:pt idx="249" formatCode="_-* #,##0.00_-;\-* #,##0.00_-;_-* &quot;-&quot;??_-;_-@">
                  <c:v>65201.69</c:v>
                </c:pt>
                <c:pt idx="250" formatCode="_-* #,##0.00_-;\-* #,##0.00_-;_-* &quot;-&quot;??_-;_-@">
                  <c:v>66109.029430276103</c:v>
                </c:pt>
                <c:pt idx="251" formatCode="_-* #,##0.00_-;\-* #,##0.00_-;_-* &quot;-&quot;??_-;_-@">
                  <c:v>67019.064803285029</c:v>
                </c:pt>
                <c:pt idx="252" formatCode="_-* #,##0.00_-;\-* #,##0.00_-;_-* &quot;-&quot;??_-;_-@">
                  <c:v>67935.573612983819</c:v>
                </c:pt>
                <c:pt idx="253" formatCode="_-* #,##0.00_-;\-* #,##0.00_-;_-* &quot;-&quot;??_-;_-@">
                  <c:v>68857.140868234274</c:v>
                </c:pt>
                <c:pt idx="254" formatCode="_-* #,##0.00_-;\-* #,##0.00_-;_-* &quot;-&quot;??_-;_-@">
                  <c:v>69783.071400998073</c:v>
                </c:pt>
                <c:pt idx="255" formatCode="_-* #,##0.00_-;\-* #,##0.00_-;_-* &quot;-&quot;??_-;_-@">
                  <c:v>70712.915834662912</c:v>
                </c:pt>
                <c:pt idx="256" formatCode="_-* #,##0.00_-;\-* #,##0.00_-;_-* &quot;-&quot;??_-;_-@">
                  <c:v>71646.346935131631</c:v>
                </c:pt>
                <c:pt idx="257" formatCode="_-* #,##0.00_-;\-* #,##0.00_-;_-* &quot;-&quot;??_-;_-@">
                  <c:v>72583.110567444062</c:v>
                </c:pt>
                <c:pt idx="258" formatCode="_-* #,##0.00_-;\-* #,##0.00_-;_-* &quot;-&quot;??_-;_-@">
                  <c:v>73523.001167054623</c:v>
                </c:pt>
                <c:pt idx="259" formatCode="_-* #,##0.00_-;\-* #,##0.00_-;_-* &quot;-&quot;??_-;_-@">
                  <c:v>74465.847657789825</c:v>
                </c:pt>
                <c:pt idx="260" formatCode="_-* #,##0.00_-;\-* #,##0.00_-;_-* &quot;-&quot;??_-;_-@">
                  <c:v>75411.504609815209</c:v>
                </c:pt>
                <c:pt idx="261" formatCode="_-* #,##0.00_-;\-* #,##0.00_-;_-* &quot;-&quot;??_-;_-@">
                  <c:v>76359.846328774322</c:v>
                </c:pt>
                <c:pt idx="262" formatCode="_-* #,##0.00_-;\-* #,##0.00_-;_-* &quot;-&quot;??_-;_-@">
                  <c:v>77310.762716478479</c:v>
                </c:pt>
                <c:pt idx="263" formatCode="_-* #,##0.00_-;\-* #,##0.00_-;_-* &quot;-&quot;??_-;_-@">
                  <c:v>78264.15626589641</c:v>
                </c:pt>
                <c:pt idx="264" formatCode="_-* #,##0.00_-;\-* #,##0.00_-;_-* &quot;-&quot;??_-;_-@">
                  <c:v>79219.939815703387</c:v>
                </c:pt>
                <c:pt idx="265" formatCode="_-* #,##0.00_-;\-* #,##0.00_-;_-* &quot;-&quot;??_-;_-@">
                  <c:v>80178.034832056335</c:v>
                </c:pt>
                <c:pt idx="266" formatCode="_-* #,##0.00_-;\-* #,##0.00_-;_-* &quot;-&quot;??_-;_-@">
                  <c:v>81138.370067302487</c:v>
                </c:pt>
                <c:pt idx="267" formatCode="_-* #,##0.00_-;\-* #,##0.00_-;_-* &quot;-&quot;??_-;_-@">
                  <c:v>82100.880494938043</c:v>
                </c:pt>
                <c:pt idx="268" formatCode="_-* #,##0.00_-;\-* #,##0.00_-;_-* &quot;-&quot;??_-;_-@">
                  <c:v>83065.506451359339</c:v>
                </c:pt>
                <c:pt idx="269" formatCode="_-* #,##0.00_-;\-* #,##0.00_-;_-* &quot;-&quot;??_-;_-@">
                  <c:v>84032.192935273488</c:v>
                </c:pt>
                <c:pt idx="270" formatCode="_-* #,##0.00_-;\-* #,##0.00_-;_-* &quot;-&quot;??_-;_-@">
                  <c:v>85000.889029250844</c:v>
                </c:pt>
                <c:pt idx="271" formatCode="_-* #,##0.00_-;\-* #,##0.00_-;_-* &quot;-&quot;??_-;_-@">
                  <c:v>85971.547417253081</c:v>
                </c:pt>
                <c:pt idx="272" formatCode="_-* #,##0.00_-;\-* #,##0.00_-;_-* &quot;-&quot;??_-;_-@">
                  <c:v>86944.123978532763</c:v>
                </c:pt>
                <c:pt idx="273" formatCode="_-* #,##0.00_-;\-* #,##0.00_-;_-* &quot;-&quot;??_-;_-@">
                  <c:v>87918.57744299667</c:v>
                </c:pt>
                <c:pt idx="274" formatCode="_-* #,##0.00_-;\-* #,##0.00_-;_-* &quot;-&quot;??_-;_-@">
                  <c:v>88894.869096543218</c:v>
                </c:pt>
                <c:pt idx="275" formatCode="_-* #,##0.00_-;\-* #,##0.00_-;_-* &quot;-&quot;??_-;_-@">
                  <c:v>89872.962527409923</c:v>
                </c:pt>
                <c:pt idx="276" formatCode="_-* #,##0.00_-;\-* #,##0.00_-;_-* &quot;-&quot;??_-;_-@">
                  <c:v>90852.823406461684</c:v>
                </c:pt>
                <c:pt idx="277" formatCode="_-* #,##0.00_-;\-* #,##0.00_-;_-* &quot;-&quot;??_-;_-@">
                  <c:v>91834.419295786836</c:v>
                </c:pt>
                <c:pt idx="278" formatCode="_-* #,##0.00_-;\-* #,##0.00_-;_-* &quot;-&quot;??_-;_-@">
                  <c:v>92817.719481072316</c:v>
                </c:pt>
                <c:pt idx="279" formatCode="_-* #,##0.00_-;\-* #,##0.00_-;_-* &quot;-&quot;??_-;_-@">
                  <c:v>93802.694824085498</c:v>
                </c:pt>
                <c:pt idx="280" formatCode="_-* #,##0.00_-;\-* #,##0.00_-;_-* &quot;-&quot;??_-;_-@">
                  <c:v>94789.317632261154</c:v>
                </c:pt>
                <c:pt idx="281" formatCode="_-* #,##0.00_-;\-* #,##0.00_-;_-* &quot;-&quot;??_-;_-@">
                  <c:v>95777.561542923067</c:v>
                </c:pt>
                <c:pt idx="282" formatCode="_-* #,##0.00_-;\-* #,##0.00_-;_-* &quot;-&quot;??_-;_-@">
                  <c:v>96767.40142009237</c:v>
                </c:pt>
                <c:pt idx="283" formatCode="_-* #,##0.00_-;\-* #,##0.00_-;_-* &quot;-&quot;??_-;_-@">
                  <c:v>97758.813262175099</c:v>
                </c:pt>
                <c:pt idx="284" formatCode="_-* #,##0.00_-;\-* #,##0.00_-;_-* &quot;-&quot;??_-;_-@">
                  <c:v>98751.774119096415</c:v>
                </c:pt>
                <c:pt idx="285" formatCode="_-* #,##0.00_-;\-* #,##0.00_-;_-* &quot;-&quot;??_-;_-@">
                  <c:v>99746.262017672838</c:v>
                </c:pt>
                <c:pt idx="286" formatCode="_-* #,##0.00_-;\-* #,##0.00_-;_-* &quot;-&quot;??_-;_-@">
                  <c:v>100742.25589419836</c:v>
                </c:pt>
                <c:pt idx="287" formatCode="_-* #,##0.00_-;\-* #,##0.00_-;_-* &quot;-&quot;??_-;_-@">
                  <c:v>101739.73553337116</c:v>
                </c:pt>
                <c:pt idx="288" formatCode="_-* #,##0.00_-;\-* #,##0.00_-;_-* &quot;-&quot;??_-;_-@">
                  <c:v>102738.68151281409</c:v>
                </c:pt>
                <c:pt idx="289" formatCode="_-* #,##0.00_-;\-* #,##0.00_-;_-* &quot;-&quot;??_-;_-@">
                  <c:v>103739.07515254646</c:v>
                </c:pt>
                <c:pt idx="290" formatCode="_-* #,##0.00_-;\-* #,##0.00_-;_-* &quot;-&quot;??_-;_-@">
                  <c:v>104740.89846885318</c:v>
                </c:pt>
                <c:pt idx="291" formatCode="_-* #,##0.00_-;\-* #,##0.00_-;_-* &quot;-&quot;??_-;_-@">
                  <c:v>105744.13413207083</c:v>
                </c:pt>
                <c:pt idx="292" formatCode="_-* #,##0.00_-;\-* #,##0.00_-;_-* &quot;-&quot;??_-;_-@">
                  <c:v>106748.76542787283</c:v>
                </c:pt>
                <c:pt idx="293" formatCode="_-* #,##0.00_-;\-* #,##0.00_-;_-* &quot;-&quot;??_-;_-@">
                  <c:v>107754.77622168977</c:v>
                </c:pt>
                <c:pt idx="294" formatCode="_-* #,##0.00_-;\-* #,##0.00_-;_-* &quot;-&quot;??_-;_-@">
                  <c:v>108762.15092594517</c:v>
                </c:pt>
                <c:pt idx="295" formatCode="_-* #,##0.00_-;\-* #,##0.00_-;_-* &quot;-&quot;??_-;_-@">
                  <c:v>109770.87446982705</c:v>
                </c:pt>
                <c:pt idx="296" formatCode="_-* #,##0.00_-;\-* #,##0.00_-;_-* &quot;-&quot;??_-;_-@">
                  <c:v>110780.93227134802</c:v>
                </c:pt>
                <c:pt idx="297" formatCode="_-* #,##0.00_-;\-* #,##0.00_-;_-* &quot;-&quot;??_-;_-@">
                  <c:v>111792.31021147588</c:v>
                </c:pt>
                <c:pt idx="298" formatCode="_-* #,##0.00_-;\-* #,##0.00_-;_-* &quot;-&quot;??_-;_-@">
                  <c:v>112804.99461014142</c:v>
                </c:pt>
                <c:pt idx="299" formatCode="_-* #,##0.00_-;\-* #,##0.00_-;_-* &quot;-&quot;??_-;_-@">
                  <c:v>113818.97220395203</c:v>
                </c:pt>
                <c:pt idx="300" formatCode="_-* #,##0.00_-;\-* #,##0.00_-;_-* &quot;-&quot;??_-;_-@">
                  <c:v>114834.23012545792</c:v>
                </c:pt>
                <c:pt idx="301" formatCode="_-* #,##0.00_-;\-* #,##0.00_-;_-* &quot;-&quot;??_-;_-@">
                  <c:v>115850.75588383504</c:v>
                </c:pt>
                <c:pt idx="302" formatCode="_-* #,##0.00_-;\-* #,##0.00_-;_-* &quot;-&quot;??_-;_-@">
                  <c:v>116868.53734686204</c:v>
                </c:pt>
                <c:pt idx="303" formatCode="_-* #,##0.00_-;\-* #,##0.00_-;_-* &quot;-&quot;??_-;_-@">
                  <c:v>117887.56272408234</c:v>
                </c:pt>
                <c:pt idx="304" formatCode="_-* #,##0.00_-;\-* #,##0.00_-;_-* &quot;-&quot;??_-;_-@">
                  <c:v>118907.82055105265</c:v>
                </c:pt>
                <c:pt idx="305" formatCode="_-* #,##0.00_-;\-* #,##0.00_-;_-* &quot;-&quot;??_-;_-@">
                  <c:v>119929.29967458971</c:v>
                </c:pt>
                <c:pt idx="306" formatCode="_-* #,##0.00_-;\-* #,##0.00_-;_-* &quot;-&quot;??_-;_-@">
                  <c:v>120951.9892389352</c:v>
                </c:pt>
                <c:pt idx="307" formatCode="_-* #,##0.00_-;\-* #,##0.00_-;_-* &quot;-&quot;??_-;_-@">
                  <c:v>121975.87867276641</c:v>
                </c:pt>
                <c:pt idx="308" formatCode="_-* #,##0.00_-;\-* #,##0.00_-;_-* &quot;-&quot;??_-;_-@">
                  <c:v>123000.9576769878</c:v>
                </c:pt>
                <c:pt idx="309" formatCode="_-* #,##0.00_-;\-* #,##0.00_-;_-* &quot;-&quot;??_-;_-@">
                  <c:v>124027.21621324368</c:v>
                </c:pt>
                <c:pt idx="310" formatCode="_-* #,##0.00_-;\-* #,##0.00_-;_-* &quot;-&quot;??_-;_-@">
                  <c:v>125054.6444930984</c:v>
                </c:pt>
                <c:pt idx="311" formatCode="_-* #,##0.00_-;\-* #,##0.00_-;_-* &quot;-&quot;??_-;_-@">
                  <c:v>126083.23296783486</c:v>
                </c:pt>
                <c:pt idx="312" formatCode="_-* #,##0.00_-;\-* #,##0.00_-;_-* &quot;-&quot;??_-;_-@">
                  <c:v>127112.97231882677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AD-1847-B768-B7441A680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564740"/>
        <c:axId val="562990186"/>
      </c:lineChart>
      <c:catAx>
        <c:axId val="1350564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2990186"/>
        <c:crosses val="autoZero"/>
        <c:auto val="1"/>
        <c:lblAlgn val="ctr"/>
        <c:lblOffset val="100"/>
        <c:noMultiLvlLbl val="1"/>
      </c:catAx>
      <c:valAx>
        <c:axId val="562990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05647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13</xdr:row>
      <xdr:rowOff>57150</xdr:rowOff>
    </xdr:from>
    <xdr:ext cx="5848350" cy="2933700"/>
    <xdr:graphicFrame macro="">
      <xdr:nvGraphicFramePr>
        <xdr:cNvPr id="451069324" name="Chart 1">
          <a:extLst>
            <a:ext uri="{FF2B5EF4-FFF2-40B4-BE49-F238E27FC236}">
              <a16:creationId xmlns:a16="http://schemas.microsoft.com/office/drawing/2014/main" id="{00000000-0008-0000-0200-00008CC5E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314">
  <tableColumns count="5">
    <tableColumn id="1" xr3:uid="{00000000-0010-0000-0000-000001000000}" name="Timeline"/>
    <tableColumn id="2" xr3:uid="{00000000-0010-0000-0000-000002000000}" name="Values"/>
    <tableColumn id="3" xr3:uid="{00000000-0010-0000-0000-000003000000}" name="Forecast"/>
    <tableColumn id="4" xr3:uid="{00000000-0010-0000-0000-000004000000}" name="Lower Confidence Bound"/>
    <tableColumn id="5" xr3:uid="{00000000-0010-0000-0000-000005000000}" name="Upper Confidence Bound"/>
  </tableColumns>
  <tableStyleInfo name="Forecast DMG REDU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k15mBvN9NmjV_9NNntrh4uNaWRgs7kG4CqVVTES9SC0/edit" TargetMode="External"/><Relationship Id="rId7" Type="http://schemas.openxmlformats.org/officeDocument/2006/relationships/hyperlink" Target="https://www.youtube.com/@TLXSaltmine" TargetMode="External"/><Relationship Id="rId2" Type="http://schemas.openxmlformats.org/officeDocument/2006/relationships/hyperlink" Target="https://docs.google.com/spreadsheets/d/1gt5sGA0jyfKHuxWQVt2Dl2EunmRgLXqeG51dLfVovBo/edit" TargetMode="External"/><Relationship Id="rId1" Type="http://schemas.openxmlformats.org/officeDocument/2006/relationships/hyperlink" Target="https://www.reddit.com/r/MapleStoryM/comments/fwodex/the_real_damage_formula/" TargetMode="External"/><Relationship Id="rId6" Type="http://schemas.openxmlformats.org/officeDocument/2006/relationships/hyperlink" Target="https://www.youtube.com/@s3phy866" TargetMode="External"/><Relationship Id="rId5" Type="http://schemas.openxmlformats.org/officeDocument/2006/relationships/hyperlink" Target="https://docs.google.com/spreadsheets/d/1htn8SZVplWJmlCy3nPL-F0fna1FE3DHkn5Va5llENxg/edit?usp=sharing" TargetMode="External"/><Relationship Id="rId4" Type="http://schemas.openxmlformats.org/officeDocument/2006/relationships/hyperlink" Target="https://forum.gamer.com.tw/C.php?bsn=29461&amp;snA=1518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dit.com/r/MapleStoryM/comments/fyfklm/a_test_on_the_effect_of_final_dmg_and_the/" TargetMode="External"/><Relationship Id="rId2" Type="http://schemas.openxmlformats.org/officeDocument/2006/relationships/hyperlink" Target="https://www.reddit.com/user/FR0STM0UI2NE/" TargetMode="External"/><Relationship Id="rId1" Type="http://schemas.openxmlformats.org/officeDocument/2006/relationships/hyperlink" Target="https://docs.google.com/spreadsheets/d/1FisXW3NUeIJCVxWo8wi68XHMSFVglOjf3ji-zx_85Nk/edit" TargetMode="External"/><Relationship Id="rId4" Type="http://schemas.openxmlformats.org/officeDocument/2006/relationships/hyperlink" Target="https://hackmd.io/@pzpsaFv3SXS74AStOrLFsA/rJkkmEqv8?type=sl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8"/>
  <sheetViews>
    <sheetView showGridLines="0" tabSelected="1" workbookViewId="0">
      <selection activeCell="G32" sqref="G32"/>
    </sheetView>
  </sheetViews>
  <sheetFormatPr baseColWidth="10" defaultColWidth="12.6640625" defaultRowHeight="15" customHeight="1" x14ac:dyDescent="0.15"/>
  <cols>
    <col min="1" max="1" width="23.6640625" customWidth="1"/>
    <col min="2" max="4" width="12.6640625" customWidth="1"/>
    <col min="5" max="5" width="3.33203125" customWidth="1"/>
    <col min="6" max="6" width="14" customWidth="1"/>
    <col min="7" max="7" width="12.6640625" customWidth="1"/>
    <col min="8" max="8" width="7.6640625" customWidth="1"/>
    <col min="9" max="9" width="3.1640625" customWidth="1"/>
    <col min="10" max="10" width="21.33203125" customWidth="1"/>
    <col min="11" max="11" width="4.6640625" customWidth="1"/>
    <col min="12" max="13" width="17.33203125" customWidth="1"/>
    <col min="14" max="14" width="17.6640625" customWidth="1"/>
    <col min="15" max="28" width="14.33203125" customWidth="1"/>
  </cols>
  <sheetData>
    <row r="1" spans="1:14" ht="12.75" customHeight="1" x14ac:dyDescent="0.15">
      <c r="A1" s="181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</row>
    <row r="2" spans="1:14" ht="12.75" customHeight="1" x14ac:dyDescent="0.15">
      <c r="A2" s="1" t="s">
        <v>1</v>
      </c>
      <c r="B2" s="2">
        <v>36779</v>
      </c>
      <c r="C2" s="3"/>
      <c r="D2" s="3"/>
      <c r="F2" s="183" t="s">
        <v>2</v>
      </c>
      <c r="G2" s="184"/>
      <c r="H2" s="4">
        <v>0</v>
      </c>
      <c r="J2" s="1" t="s">
        <v>3</v>
      </c>
      <c r="K2" s="5">
        <v>0</v>
      </c>
      <c r="M2" s="6" t="s">
        <v>4</v>
      </c>
      <c r="N2" s="7">
        <f>B2</f>
        <v>36779</v>
      </c>
    </row>
    <row r="3" spans="1:14" ht="12.75" customHeight="1" x14ac:dyDescent="0.15">
      <c r="A3" s="8" t="s">
        <v>5</v>
      </c>
      <c r="B3" s="9">
        <v>1.2048000000000001</v>
      </c>
      <c r="C3" s="10"/>
      <c r="D3" s="10"/>
      <c r="F3" s="185" t="s">
        <v>6</v>
      </c>
      <c r="G3" s="186"/>
      <c r="H3" s="11">
        <v>0</v>
      </c>
      <c r="J3" s="8" t="s">
        <v>7</v>
      </c>
      <c r="K3" s="12">
        <v>0</v>
      </c>
      <c r="M3" s="13" t="s">
        <v>5</v>
      </c>
      <c r="N3" s="14">
        <f>(B3+K3+35%*H2+15%*H6+21%*H4+10%*K11+G13)</f>
        <v>1.2048000000000001</v>
      </c>
    </row>
    <row r="4" spans="1:14" ht="12.75" customHeight="1" x14ac:dyDescent="0.15">
      <c r="A4" s="8" t="s">
        <v>8</v>
      </c>
      <c r="B4" s="9">
        <v>1.2609999999999999</v>
      </c>
      <c r="C4" s="10"/>
      <c r="D4" s="10"/>
      <c r="F4" s="185" t="s">
        <v>9</v>
      </c>
      <c r="G4" s="186"/>
      <c r="H4" s="11">
        <v>0</v>
      </c>
      <c r="J4" s="8" t="s">
        <v>10</v>
      </c>
      <c r="K4" s="11">
        <v>0</v>
      </c>
      <c r="M4" s="13" t="s">
        <v>8</v>
      </c>
      <c r="N4" s="14">
        <f>(B4+30%*K4+20%*K9+15%*H5+15%*H7+K15)</f>
        <v>1.2609999999999999</v>
      </c>
    </row>
    <row r="5" spans="1:14" ht="12.75" customHeight="1" x14ac:dyDescent="0.15">
      <c r="A5" s="8" t="s">
        <v>11</v>
      </c>
      <c r="B5" s="9">
        <v>1.008</v>
      </c>
      <c r="C5" s="10"/>
      <c r="D5" s="10"/>
      <c r="F5" s="185" t="s">
        <v>12</v>
      </c>
      <c r="G5" s="186"/>
      <c r="H5" s="11">
        <v>0</v>
      </c>
      <c r="J5" s="8" t="s">
        <v>13</v>
      </c>
      <c r="K5" s="11">
        <v>0</v>
      </c>
      <c r="M5" s="13" t="s">
        <v>11</v>
      </c>
      <c r="N5" s="14">
        <f>B5+K2+20%*K8+50%*K10+15%*H2+9.6%*H3+G14+K17</f>
        <v>1.008</v>
      </c>
    </row>
    <row r="6" spans="1:14" ht="12.75" customHeight="1" x14ac:dyDescent="0.15">
      <c r="A6" s="8" t="s">
        <v>14</v>
      </c>
      <c r="B6" s="9">
        <v>0.69599999999999995</v>
      </c>
      <c r="C6" s="10"/>
      <c r="D6" s="10"/>
      <c r="F6" s="185" t="s">
        <v>15</v>
      </c>
      <c r="G6" s="186"/>
      <c r="H6" s="11">
        <v>0</v>
      </c>
      <c r="J6" s="8" t="s">
        <v>16</v>
      </c>
      <c r="K6" s="11">
        <v>0</v>
      </c>
      <c r="M6" s="13" t="s">
        <v>14</v>
      </c>
      <c r="N6" s="14">
        <f>B6+30%*K6+20%*K7+10%*K11+K16-B25</f>
        <v>0.69599999999999995</v>
      </c>
    </row>
    <row r="7" spans="1:14" ht="12.75" customHeight="1" x14ac:dyDescent="0.15">
      <c r="A7" s="8" t="s">
        <v>17</v>
      </c>
      <c r="B7" s="9">
        <v>2.7294</v>
      </c>
      <c r="C7" s="10"/>
      <c r="D7" s="10"/>
      <c r="F7" s="187" t="s">
        <v>18</v>
      </c>
      <c r="G7" s="186"/>
      <c r="H7" s="11">
        <v>0</v>
      </c>
      <c r="J7" s="8" t="s">
        <v>19</v>
      </c>
      <c r="K7" s="11">
        <v>0</v>
      </c>
      <c r="M7" s="15" t="s">
        <v>20</v>
      </c>
      <c r="N7" s="16">
        <f>IF(N6&gt;100%,100%,N6)</f>
        <v>0.69599999999999995</v>
      </c>
    </row>
    <row r="8" spans="1:14" ht="12.75" customHeight="1" x14ac:dyDescent="0.15">
      <c r="A8" s="8" t="s">
        <v>21</v>
      </c>
      <c r="B8" s="9">
        <v>2.2999999999999998</v>
      </c>
      <c r="C8" s="10"/>
      <c r="D8" s="10"/>
      <c r="F8" s="199" t="s">
        <v>22</v>
      </c>
      <c r="G8" s="200"/>
      <c r="H8" s="17">
        <v>0</v>
      </c>
      <c r="J8" s="8" t="s">
        <v>23</v>
      </c>
      <c r="K8" s="11">
        <v>0</v>
      </c>
      <c r="M8" s="13" t="s">
        <v>17</v>
      </c>
      <c r="N8" s="14">
        <f>B7+30%*K5+30%*H8+20%*K11+G15+K18</f>
        <v>2.7294</v>
      </c>
    </row>
    <row r="9" spans="1:14" ht="12.75" customHeight="1" x14ac:dyDescent="0.15">
      <c r="A9" s="8" t="s">
        <v>24</v>
      </c>
      <c r="B9" s="9">
        <v>0.50800000000000001</v>
      </c>
      <c r="C9" s="10"/>
      <c r="D9" s="10"/>
      <c r="J9" s="8" t="s">
        <v>25</v>
      </c>
      <c r="K9" s="11">
        <v>0</v>
      </c>
      <c r="M9" s="13" t="s">
        <v>21</v>
      </c>
      <c r="N9" s="14">
        <f>B8</f>
        <v>2.2999999999999998</v>
      </c>
    </row>
    <row r="10" spans="1:14" ht="12.75" customHeight="1" x14ac:dyDescent="0.15">
      <c r="A10" s="18" t="s">
        <v>26</v>
      </c>
      <c r="B10" s="19">
        <v>370560099</v>
      </c>
      <c r="C10" s="20"/>
      <c r="D10" s="20"/>
      <c r="F10" s="201" t="s">
        <v>27</v>
      </c>
      <c r="G10" s="186"/>
      <c r="H10" s="186"/>
      <c r="J10" s="8" t="s">
        <v>28</v>
      </c>
      <c r="K10" s="11">
        <v>0</v>
      </c>
      <c r="M10" s="13" t="s">
        <v>24</v>
      </c>
      <c r="N10" s="14">
        <f>(B9+G16+K19)</f>
        <v>0.50800000000000001</v>
      </c>
    </row>
    <row r="11" spans="1:14" ht="12.75" customHeight="1" x14ac:dyDescent="0.15">
      <c r="A11" s="21" t="s">
        <v>29</v>
      </c>
      <c r="B11" s="22">
        <v>222</v>
      </c>
      <c r="C11" s="23"/>
      <c r="D11" s="23"/>
      <c r="F11" s="186"/>
      <c r="G11" s="186"/>
      <c r="H11" s="186"/>
      <c r="J11" s="18" t="s">
        <v>30</v>
      </c>
      <c r="K11" s="17">
        <v>0</v>
      </c>
      <c r="M11" s="24" t="s">
        <v>31</v>
      </c>
      <c r="N11" s="25">
        <f>IF(B11&lt;B12,IF(1-'DMG REDUC (s3phy)'!G9&lt;'DMG REDUC (s3phy)'!G10,'DMG REDUC (s3phy)'!G10,'DMG REDUC (s3phy)'!G9),'DMG REDUC (s3phy)'!G9)</f>
        <v>0.58040559283889648</v>
      </c>
    </row>
    <row r="12" spans="1:14" ht="12.75" customHeight="1" x14ac:dyDescent="0.15">
      <c r="A12" s="21" t="s">
        <v>32</v>
      </c>
      <c r="B12" s="22">
        <v>200</v>
      </c>
      <c r="C12" s="23"/>
      <c r="D12" s="23"/>
      <c r="E12" s="26"/>
      <c r="J12" s="188" t="s">
        <v>33</v>
      </c>
      <c r="K12" s="186"/>
      <c r="M12" s="15"/>
      <c r="N12" s="14"/>
    </row>
    <row r="13" spans="1:14" ht="12.75" customHeight="1" x14ac:dyDescent="0.15">
      <c r="A13" s="28" t="s">
        <v>34</v>
      </c>
      <c r="B13" s="29">
        <f>'DMG REDUC (data mined)'!E5/100</f>
        <v>0.56749689830440642</v>
      </c>
      <c r="C13" s="30"/>
      <c r="D13" s="30"/>
      <c r="E13" s="31"/>
      <c r="F13" s="1" t="s">
        <v>35</v>
      </c>
      <c r="G13" s="5">
        <v>0</v>
      </c>
      <c r="M13" s="15"/>
      <c r="N13" s="14"/>
    </row>
    <row r="14" spans="1:14" ht="12.75" customHeight="1" x14ac:dyDescent="0.15">
      <c r="A14" s="32" t="s">
        <v>36</v>
      </c>
      <c r="B14" s="33">
        <v>0.2</v>
      </c>
      <c r="C14" s="34"/>
      <c r="D14" s="30"/>
      <c r="E14" s="35"/>
      <c r="F14" s="8" t="s">
        <v>11</v>
      </c>
      <c r="G14" s="12">
        <v>0</v>
      </c>
      <c r="J14" s="36"/>
      <c r="K14" s="35"/>
      <c r="M14" s="13"/>
      <c r="N14" s="14"/>
    </row>
    <row r="15" spans="1:14" ht="12.75" customHeight="1" x14ac:dyDescent="0.15">
      <c r="A15" s="37" t="s">
        <v>37</v>
      </c>
      <c r="B15" s="38">
        <f>(($B$14*(1-$B$16)))</f>
        <v>0.19520000000000001</v>
      </c>
      <c r="C15" s="39"/>
      <c r="D15" s="39"/>
      <c r="F15" s="8" t="s">
        <v>17</v>
      </c>
      <c r="G15" s="12">
        <v>0</v>
      </c>
      <c r="J15" s="1" t="s">
        <v>38</v>
      </c>
      <c r="K15" s="5">
        <v>0</v>
      </c>
      <c r="M15" s="13"/>
      <c r="N15" s="14"/>
    </row>
    <row r="16" spans="1:14" ht="12.75" customHeight="1" x14ac:dyDescent="0.15">
      <c r="A16" s="40" t="s">
        <v>39</v>
      </c>
      <c r="B16" s="41">
        <f>1-(1-B17)^1*(1-$B$18)*(1-15/100)^$B$19*(1-25/100)^$B$20*(1-(3/100)*$B$21-(3/100)*$B$22-(4/100)*$B$23)</f>
        <v>2.4000000000000021E-2</v>
      </c>
      <c r="C16" s="42"/>
      <c r="D16" s="43">
        <f>1-(1-B17)^1*(1-$B$18)*(1-15/100)^$B$19*(1-25/100)^$B$20*(1-(3/100)*$B$21-(3/100)*$B$22-(4/100)*$B$23)</f>
        <v>2.4000000000000021E-2</v>
      </c>
      <c r="E16" s="44"/>
      <c r="F16" s="18" t="s">
        <v>24</v>
      </c>
      <c r="G16" s="45">
        <v>0</v>
      </c>
      <c r="J16" s="8" t="s">
        <v>14</v>
      </c>
      <c r="K16" s="5">
        <v>0</v>
      </c>
      <c r="M16" s="13"/>
      <c r="N16" s="14"/>
    </row>
    <row r="17" spans="1:14" ht="12.75" customHeight="1" x14ac:dyDescent="0.15">
      <c r="A17" s="46"/>
      <c r="B17" s="47">
        <v>0</v>
      </c>
      <c r="C17" s="48"/>
      <c r="D17" s="48"/>
      <c r="E17" s="44"/>
      <c r="F17" s="188" t="s">
        <v>40</v>
      </c>
      <c r="G17" s="186"/>
      <c r="J17" s="8" t="s">
        <v>11</v>
      </c>
      <c r="K17" s="5">
        <v>0</v>
      </c>
      <c r="M17" s="13"/>
      <c r="N17" s="14"/>
    </row>
    <row r="18" spans="1:14" ht="12.75" customHeight="1" x14ac:dyDescent="0.15">
      <c r="A18" s="49" t="s">
        <v>41</v>
      </c>
      <c r="B18" s="50">
        <v>2.4E-2</v>
      </c>
      <c r="C18" s="48"/>
      <c r="D18" s="39">
        <f>1-(1-$G$19)*(1-$G$20)*(1-$G$21)*(1-$G$22)*(1-$G$23)*(1-$G$24)*(1-$G$25)*(1-$G$26)</f>
        <v>0.46446726281297912</v>
      </c>
      <c r="E18" s="44"/>
      <c r="J18" s="8" t="s">
        <v>17</v>
      </c>
      <c r="K18" s="5">
        <v>0</v>
      </c>
      <c r="M18" s="13"/>
      <c r="N18" s="14"/>
    </row>
    <row r="19" spans="1:14" ht="12.75" customHeight="1" x14ac:dyDescent="0.15">
      <c r="A19" s="49" t="s">
        <v>42</v>
      </c>
      <c r="B19" s="17">
        <v>0</v>
      </c>
      <c r="C19" s="35"/>
      <c r="D19" s="39"/>
      <c r="F19" s="1" t="s">
        <v>43</v>
      </c>
      <c r="G19" s="51">
        <v>0.04</v>
      </c>
      <c r="J19" s="18" t="s">
        <v>24</v>
      </c>
      <c r="K19" s="5">
        <v>0</v>
      </c>
      <c r="L19" s="35"/>
      <c r="M19" s="13"/>
      <c r="N19" s="14"/>
    </row>
    <row r="20" spans="1:14" ht="12.75" customHeight="1" x14ac:dyDescent="0.15">
      <c r="A20" s="52" t="s">
        <v>44</v>
      </c>
      <c r="B20" s="17">
        <v>0</v>
      </c>
      <c r="C20" s="35"/>
      <c r="D20" s="39"/>
      <c r="F20" s="1" t="s">
        <v>45</v>
      </c>
      <c r="G20" s="9">
        <f t="shared" ref="G20:G23" si="0">(8)%</f>
        <v>0.08</v>
      </c>
      <c r="J20" s="202" t="s">
        <v>46</v>
      </c>
      <c r="K20" s="184"/>
      <c r="M20" s="191" t="s">
        <v>47</v>
      </c>
      <c r="N20" s="192"/>
    </row>
    <row r="21" spans="1:14" ht="12.75" customHeight="1" x14ac:dyDescent="0.15">
      <c r="A21" s="53"/>
      <c r="B21" s="17">
        <v>0</v>
      </c>
      <c r="C21" s="35"/>
      <c r="D21" s="39"/>
      <c r="E21" s="35"/>
      <c r="F21" s="8" t="s">
        <v>48</v>
      </c>
      <c r="G21" s="9">
        <f t="shared" si="0"/>
        <v>0.08</v>
      </c>
      <c r="H21" s="35"/>
      <c r="I21" s="35"/>
      <c r="J21" s="27"/>
      <c r="K21" s="27"/>
      <c r="L21" s="35"/>
      <c r="M21" s="35"/>
      <c r="N21" s="54"/>
    </row>
    <row r="22" spans="1:14" ht="12.75" customHeight="1" x14ac:dyDescent="0.15">
      <c r="A22" s="53"/>
      <c r="B22" s="17">
        <v>0</v>
      </c>
      <c r="C22" s="35"/>
      <c r="D22" s="39"/>
      <c r="E22" s="35"/>
      <c r="F22" s="8" t="s">
        <v>49</v>
      </c>
      <c r="G22" s="9">
        <f t="shared" si="0"/>
        <v>0.08</v>
      </c>
      <c r="H22" s="35"/>
      <c r="I22" s="35"/>
      <c r="J22" s="27"/>
      <c r="K22" s="27"/>
      <c r="L22" s="35"/>
      <c r="M22" s="35"/>
      <c r="N22" s="54"/>
    </row>
    <row r="23" spans="1:14" ht="12.75" customHeight="1" x14ac:dyDescent="0.15">
      <c r="A23" s="53"/>
      <c r="B23" s="17">
        <v>0</v>
      </c>
      <c r="C23" s="35"/>
      <c r="D23" s="39"/>
      <c r="E23" s="35"/>
      <c r="F23" s="8" t="s">
        <v>50</v>
      </c>
      <c r="G23" s="9">
        <f t="shared" si="0"/>
        <v>0.08</v>
      </c>
      <c r="H23" s="35"/>
      <c r="I23" s="35"/>
      <c r="J23" s="27"/>
      <c r="K23" s="27"/>
      <c r="L23" s="35"/>
      <c r="M23" s="35"/>
      <c r="N23" s="54"/>
    </row>
    <row r="24" spans="1:14" ht="12.75" customHeight="1" x14ac:dyDescent="0.15">
      <c r="D24" s="39"/>
      <c r="E24" s="35"/>
      <c r="F24" s="8" t="s">
        <v>51</v>
      </c>
      <c r="G24" s="9">
        <v>0.08</v>
      </c>
      <c r="H24" s="35"/>
      <c r="I24" s="35"/>
      <c r="J24" s="27"/>
      <c r="K24" s="27"/>
      <c r="L24" s="35"/>
      <c r="M24" s="35"/>
      <c r="N24" s="54"/>
    </row>
    <row r="25" spans="1:14" ht="12.75" customHeight="1" x14ac:dyDescent="0.15">
      <c r="A25" s="36" t="s">
        <v>52</v>
      </c>
      <c r="B25" s="55">
        <v>0</v>
      </c>
      <c r="C25" s="55"/>
      <c r="D25" s="55"/>
      <c r="E25" s="35"/>
      <c r="F25" s="8" t="s">
        <v>53</v>
      </c>
      <c r="G25" s="9">
        <v>0.08</v>
      </c>
      <c r="H25" s="35"/>
      <c r="I25" s="35"/>
      <c r="J25" s="27"/>
      <c r="K25" s="27"/>
      <c r="L25" s="35"/>
      <c r="M25" s="35"/>
      <c r="N25" s="54"/>
    </row>
    <row r="26" spans="1:14" ht="12.75" customHeight="1" x14ac:dyDescent="0.15">
      <c r="A26" s="193" t="s">
        <v>54</v>
      </c>
      <c r="B26" s="186"/>
      <c r="C26" s="56"/>
      <c r="D26" s="56"/>
      <c r="E26" s="35"/>
      <c r="F26" s="18" t="s">
        <v>55</v>
      </c>
      <c r="G26" s="57">
        <v>0.08</v>
      </c>
      <c r="H26" s="35"/>
      <c r="I26" s="35"/>
      <c r="J26" s="27"/>
      <c r="K26" s="27"/>
      <c r="L26" s="35"/>
      <c r="M26" s="35"/>
      <c r="N26" s="54"/>
    </row>
    <row r="27" spans="1:14" ht="12.75" customHeight="1" x14ac:dyDescent="0.15">
      <c r="A27" s="58"/>
      <c r="B27" s="35"/>
      <c r="C27" s="35"/>
      <c r="D27" s="35"/>
      <c r="E27" s="35"/>
      <c r="F27" s="188" t="s">
        <v>56</v>
      </c>
      <c r="G27" s="186"/>
      <c r="H27" s="35"/>
      <c r="I27" s="35"/>
      <c r="J27" s="27"/>
      <c r="K27" s="27"/>
      <c r="L27" s="35"/>
      <c r="M27" s="35"/>
      <c r="N27" s="54"/>
    </row>
    <row r="28" spans="1:14" ht="12.75" customHeight="1" x14ac:dyDescent="0.15">
      <c r="A28" s="59"/>
      <c r="B28" s="60"/>
      <c r="C28" s="60"/>
      <c r="D28" s="60"/>
      <c r="E28" s="60"/>
      <c r="F28" s="60"/>
      <c r="G28" s="60"/>
      <c r="H28" s="60"/>
      <c r="I28" s="60"/>
      <c r="J28" s="189"/>
      <c r="K28" s="190"/>
      <c r="L28" s="60"/>
      <c r="M28" s="60"/>
      <c r="N28" s="61"/>
    </row>
    <row r="29" spans="1:14" ht="12.75" customHeight="1" x14ac:dyDescent="0.15"/>
    <row r="30" spans="1:14" ht="12.75" customHeight="1" x14ac:dyDescent="0.15">
      <c r="A30" s="181" t="s">
        <v>57</v>
      </c>
      <c r="B30" s="182"/>
      <c r="C30" s="182"/>
      <c r="D30" s="182"/>
      <c r="E30" s="182"/>
      <c r="F30" s="182"/>
      <c r="G30" s="182"/>
      <c r="H30" s="62"/>
      <c r="I30" s="35"/>
      <c r="J30" s="63" t="s">
        <v>58</v>
      </c>
      <c r="K30" s="64"/>
      <c r="L30" s="64"/>
      <c r="M30" s="64"/>
      <c r="N30" s="65"/>
    </row>
    <row r="31" spans="1:14" ht="12.75" customHeight="1" x14ac:dyDescent="0.15">
      <c r="A31" s="194" t="s">
        <v>59</v>
      </c>
      <c r="B31" s="195"/>
      <c r="C31" s="66"/>
      <c r="D31" s="66"/>
      <c r="E31" s="196" t="s">
        <v>60</v>
      </c>
      <c r="F31" s="197"/>
      <c r="G31" s="198"/>
      <c r="H31" s="67"/>
      <c r="I31" s="68"/>
      <c r="J31" s="69"/>
      <c r="K31" s="70"/>
      <c r="L31" s="71" t="s">
        <v>61</v>
      </c>
      <c r="M31" s="71" t="s">
        <v>62</v>
      </c>
      <c r="N31" s="72" t="s">
        <v>63</v>
      </c>
    </row>
    <row r="32" spans="1:14" ht="12.75" customHeight="1" x14ac:dyDescent="0.15">
      <c r="A32" s="73" t="s">
        <v>17</v>
      </c>
      <c r="B32" s="74">
        <v>0</v>
      </c>
      <c r="C32" s="75"/>
      <c r="D32" s="75"/>
      <c r="E32" s="68"/>
      <c r="F32" s="36" t="s">
        <v>17</v>
      </c>
      <c r="G32" s="76">
        <v>0.01</v>
      </c>
      <c r="H32" s="67"/>
      <c r="I32" s="68"/>
      <c r="J32" s="73" t="s">
        <v>64</v>
      </c>
      <c r="K32" s="68"/>
      <c r="L32" s="26">
        <f>(N2*(1+N4)*(1+N3)*N9*(1+N10))</f>
        <v>635914.68914017407</v>
      </c>
      <c r="M32" s="77"/>
      <c r="N32" s="78"/>
    </row>
    <row r="33" spans="1:14" ht="12.75" customHeight="1" x14ac:dyDescent="0.15">
      <c r="A33" s="73" t="s">
        <v>11</v>
      </c>
      <c r="B33" s="74">
        <v>0</v>
      </c>
      <c r="C33" s="75"/>
      <c r="D33" s="75"/>
      <c r="E33" s="68"/>
      <c r="F33" s="36" t="s">
        <v>11</v>
      </c>
      <c r="G33" s="76">
        <v>0</v>
      </c>
      <c r="H33" s="67"/>
      <c r="I33" s="68"/>
      <c r="J33" s="73" t="s">
        <v>65</v>
      </c>
      <c r="K33" s="68"/>
      <c r="L33" s="26">
        <f>L32*(1+25%+N8)</f>
        <v>2530558.9139644089</v>
      </c>
      <c r="M33" s="77">
        <f>L32*(1+$N$8)</f>
        <v>2371580.2416793653</v>
      </c>
      <c r="N33" s="78">
        <f>L32*(1+50%+$N$8)</f>
        <v>2689537.5862494521</v>
      </c>
    </row>
    <row r="34" spans="1:14" ht="12.75" customHeight="1" x14ac:dyDescent="0.15">
      <c r="A34" s="73" t="s">
        <v>5</v>
      </c>
      <c r="B34" s="74">
        <v>0</v>
      </c>
      <c r="C34" s="75"/>
      <c r="D34" s="75"/>
      <c r="E34" s="68"/>
      <c r="F34" s="36" t="s">
        <v>66</v>
      </c>
      <c r="G34" s="76">
        <v>0</v>
      </c>
      <c r="H34" s="67"/>
      <c r="I34" s="68"/>
      <c r="J34" s="73" t="s">
        <v>67</v>
      </c>
      <c r="K34" s="68"/>
      <c r="L34" s="26">
        <f>L32*(1-N7)+L33*N7</f>
        <v>1954587.0696178414</v>
      </c>
      <c r="M34" s="77">
        <f>L32*(1-N7)+M33*N7</f>
        <v>1843937.913707451</v>
      </c>
      <c r="N34" s="78">
        <f>L32*(1-N7)+N33*N7</f>
        <v>2065236.2255282314</v>
      </c>
    </row>
    <row r="35" spans="1:14" ht="12.75" customHeight="1" x14ac:dyDescent="0.15">
      <c r="A35" s="73" t="s">
        <v>8</v>
      </c>
      <c r="B35" s="74">
        <v>0</v>
      </c>
      <c r="C35" s="75"/>
      <c r="D35" s="75"/>
      <c r="E35" s="68"/>
      <c r="F35" s="36" t="s">
        <v>68</v>
      </c>
      <c r="G35" s="76">
        <v>0</v>
      </c>
      <c r="H35" s="67"/>
      <c r="I35" s="68"/>
      <c r="J35" s="73" t="s">
        <v>69</v>
      </c>
      <c r="K35" s="68"/>
      <c r="L35" s="26">
        <f>(N2*(1+N4)*(1+N3+N9*N5)*N9*(1+N10))</f>
        <v>1304594.2134972946</v>
      </c>
      <c r="M35" s="77"/>
      <c r="N35" s="78"/>
    </row>
    <row r="36" spans="1:14" ht="12.75" customHeight="1" x14ac:dyDescent="0.15">
      <c r="A36" s="73" t="s">
        <v>70</v>
      </c>
      <c r="B36" s="79"/>
      <c r="C36" s="79"/>
      <c r="D36" s="79"/>
      <c r="E36" s="80"/>
      <c r="F36" s="36" t="s">
        <v>70</v>
      </c>
      <c r="G36" s="180">
        <v>0</v>
      </c>
      <c r="H36" s="67"/>
      <c r="I36" s="68"/>
      <c r="J36" s="73" t="s">
        <v>71</v>
      </c>
      <c r="K36" s="68"/>
      <c r="L36" s="26">
        <f>L35*(1+N8+25%)</f>
        <v>5191502.2131911339</v>
      </c>
      <c r="M36" s="77">
        <f>L35*(1+$N$8)</f>
        <v>4865353.6598168109</v>
      </c>
      <c r="N36" s="78">
        <f>L35*(1+50%+$N$8)</f>
        <v>5517650.7665654579</v>
      </c>
    </row>
    <row r="37" spans="1:14" ht="12.75" customHeight="1" x14ac:dyDescent="0.15">
      <c r="A37" s="73" t="s">
        <v>72</v>
      </c>
      <c r="B37" s="74">
        <v>0</v>
      </c>
      <c r="C37" s="75"/>
      <c r="D37" s="75"/>
      <c r="E37" s="68"/>
      <c r="F37" s="36" t="s">
        <v>72</v>
      </c>
      <c r="G37" s="76">
        <v>0</v>
      </c>
      <c r="H37" s="67"/>
      <c r="I37" s="68"/>
      <c r="J37" s="73"/>
      <c r="K37" s="68"/>
      <c r="L37" s="26"/>
      <c r="M37" s="77"/>
      <c r="N37" s="78"/>
    </row>
    <row r="38" spans="1:14" ht="12.75" customHeight="1" x14ac:dyDescent="0.15">
      <c r="A38" s="81"/>
      <c r="B38" s="82"/>
      <c r="C38" s="83"/>
      <c r="D38" s="83"/>
      <c r="E38" s="83"/>
      <c r="F38" s="83"/>
      <c r="G38" s="84" t="s">
        <v>73</v>
      </c>
      <c r="H38" s="67"/>
      <c r="I38" s="68"/>
      <c r="J38" s="73" t="s">
        <v>74</v>
      </c>
      <c r="K38" s="68"/>
      <c r="L38" s="26">
        <f>IF(L36&gt;B10,B10,L36)</f>
        <v>5191502.2131911339</v>
      </c>
      <c r="M38" s="77">
        <f t="shared" ref="M38:N38" si="1">IF(M36&gt;$B$10,$B$10,M36)</f>
        <v>4865353.6598168109</v>
      </c>
      <c r="N38" s="78">
        <f t="shared" si="1"/>
        <v>5517650.7665654579</v>
      </c>
    </row>
    <row r="39" spans="1:14" ht="12.75" customHeight="1" x14ac:dyDescent="0.15">
      <c r="A39" s="85" t="s">
        <v>64</v>
      </c>
      <c r="B39" s="86">
        <f>N2*(1+N4)*(1+N3)*N9*(1+N10)</f>
        <v>635914.68914017407</v>
      </c>
      <c r="C39" s="87"/>
      <c r="D39" s="87"/>
      <c r="E39" s="79"/>
      <c r="F39" s="88">
        <f>(N2-B36+G36)*(1+N4-B35+G35)*(1+N3-B34+G34)*N9*(1+N10-B37+G37)</f>
        <v>635914.68914017407</v>
      </c>
      <c r="G39" s="89">
        <f t="shared" ref="G39:G46" si="2">+F39/B39-1</f>
        <v>0</v>
      </c>
      <c r="H39" s="67"/>
      <c r="I39" s="68"/>
      <c r="J39" s="90" t="s">
        <v>75</v>
      </c>
      <c r="K39" s="91"/>
      <c r="L39" s="91"/>
      <c r="M39" s="91"/>
      <c r="N39" s="92"/>
    </row>
    <row r="40" spans="1:14" ht="12.75" customHeight="1" x14ac:dyDescent="0.15">
      <c r="A40" s="93" t="s">
        <v>65</v>
      </c>
      <c r="B40" s="94">
        <f>L32*(1+25%+N8)</f>
        <v>2530558.9139644089</v>
      </c>
      <c r="C40" s="95"/>
      <c r="D40" s="95"/>
      <c r="E40" s="96"/>
      <c r="F40" s="97">
        <f>L32*(1+25%+(N8-B32+G32))</f>
        <v>2536918.0608558105</v>
      </c>
      <c r="G40" s="98">
        <f t="shared" si="2"/>
        <v>2.5129416494948931E-3</v>
      </c>
      <c r="H40" s="67"/>
      <c r="I40" s="68"/>
      <c r="J40" s="73" t="s">
        <v>69</v>
      </c>
      <c r="K40" s="68"/>
      <c r="L40" s="26">
        <f t="shared" ref="L40:L41" si="3">L35*$B$13</f>
        <v>740353.16970559128</v>
      </c>
      <c r="M40" s="77"/>
      <c r="N40" s="78"/>
    </row>
    <row r="41" spans="1:14" ht="12.75" customHeight="1" x14ac:dyDescent="0.15">
      <c r="A41" s="85" t="s">
        <v>67</v>
      </c>
      <c r="B41" s="86">
        <f>L32*(1-N7)+L33*N7</f>
        <v>1954587.0696178414</v>
      </c>
      <c r="C41" s="87"/>
      <c r="D41" s="87"/>
      <c r="E41" s="79"/>
      <c r="F41" s="88">
        <f>F39*(1-N7)+F40*N7</f>
        <v>1959013.0358542572</v>
      </c>
      <c r="G41" s="89">
        <f t="shared" si="2"/>
        <v>2.2643996295754754E-3</v>
      </c>
      <c r="H41" s="99"/>
      <c r="I41" s="68"/>
      <c r="J41" s="73" t="s">
        <v>71</v>
      </c>
      <c r="K41" s="68"/>
      <c r="L41" s="26">
        <f t="shared" si="3"/>
        <v>2946161.4035264296</v>
      </c>
      <c r="M41" s="77">
        <f>L40*(1+$N$8)</f>
        <v>2761073.111100032</v>
      </c>
      <c r="N41" s="78">
        <f>L40*(1+50%+$N$8)</f>
        <v>3131249.6959528276</v>
      </c>
    </row>
    <row r="42" spans="1:14" ht="12.75" customHeight="1" x14ac:dyDescent="0.15">
      <c r="A42" s="85" t="s">
        <v>69</v>
      </c>
      <c r="B42" s="86">
        <f>N2*(1+N4)*(1+N3+N9*N5)*N9*(1+N10)</f>
        <v>1304594.2134972946</v>
      </c>
      <c r="C42" s="87"/>
      <c r="D42" s="87"/>
      <c r="E42" s="79"/>
      <c r="F42" s="88">
        <f>(N2-B36+G36)*(1+N4-B35+G35)*(1+(N3-B34+G34)+N9*(N5-B33+G33))*N9*(1+N10-B37+G37)</f>
        <v>1304594.2134972946</v>
      </c>
      <c r="G42" s="89">
        <f t="shared" si="2"/>
        <v>0</v>
      </c>
      <c r="H42" s="99"/>
      <c r="I42" s="88"/>
      <c r="J42" s="73" t="s">
        <v>74</v>
      </c>
      <c r="K42" s="68"/>
      <c r="L42" s="26">
        <f t="shared" ref="L42:N42" si="4">IF(L41&gt;$B$10,$B$10,L41)</f>
        <v>2946161.4035264296</v>
      </c>
      <c r="M42" s="77">
        <f t="shared" si="4"/>
        <v>2761073.111100032</v>
      </c>
      <c r="N42" s="78">
        <f t="shared" si="4"/>
        <v>3131249.6959528276</v>
      </c>
    </row>
    <row r="43" spans="1:14" ht="12.75" customHeight="1" x14ac:dyDescent="0.15">
      <c r="A43" s="100" t="s">
        <v>71</v>
      </c>
      <c r="B43" s="101">
        <f>B42*(1+N8+25%)*B13</f>
        <v>2946161.4035264296</v>
      </c>
      <c r="C43" s="102"/>
      <c r="D43" s="102"/>
      <c r="E43" s="103"/>
      <c r="F43" s="104">
        <f>F42*(1+(N8-B32+G32+25%))*B13</f>
        <v>2953564.9352234853</v>
      </c>
      <c r="G43" s="105">
        <f t="shared" si="2"/>
        <v>2.5129416494948931E-3</v>
      </c>
      <c r="H43" s="99"/>
      <c r="I43" s="88"/>
      <c r="J43" s="90" t="s">
        <v>76</v>
      </c>
      <c r="K43" s="91"/>
      <c r="L43" s="91"/>
      <c r="M43" s="91"/>
      <c r="N43" s="92"/>
    </row>
    <row r="44" spans="1:14" ht="12.75" customHeight="1" x14ac:dyDescent="0.15">
      <c r="A44" s="93" t="s">
        <v>74</v>
      </c>
      <c r="B44" s="94">
        <f>IF(B43&gt;$B$10,$B$10,B43)</f>
        <v>2946161.4035264296</v>
      </c>
      <c r="C44" s="95"/>
      <c r="D44" s="95"/>
      <c r="E44" s="96"/>
      <c r="F44" s="97">
        <f>IF(F43&gt;$B$10,$B$10,F43)</f>
        <v>2953564.9352234853</v>
      </c>
      <c r="G44" s="98">
        <f t="shared" si="2"/>
        <v>2.5129416494948931E-3</v>
      </c>
      <c r="H44" s="99"/>
      <c r="I44" s="88"/>
      <c r="J44" s="73" t="s">
        <v>69</v>
      </c>
      <c r="K44" s="68"/>
      <c r="L44" s="26">
        <f t="shared" ref="L44:L46" si="5">L40*(1-($B$14*(1-$B$16)))</f>
        <v>595836.23097905982</v>
      </c>
      <c r="M44" s="68"/>
      <c r="N44" s="106"/>
    </row>
    <row r="45" spans="1:14" ht="12.75" customHeight="1" x14ac:dyDescent="0.15">
      <c r="A45" s="85" t="s">
        <v>77</v>
      </c>
      <c r="B45" s="107">
        <f>B42*(1-$N$7)+B44*$N$7</f>
        <v>2447124.9777575722</v>
      </c>
      <c r="C45" s="108"/>
      <c r="D45" s="108"/>
      <c r="E45" s="109"/>
      <c r="F45" s="88">
        <f>F42*(1-$N$7)+F44*$N$7</f>
        <v>2452277.8358187233</v>
      </c>
      <c r="G45" s="89">
        <f t="shared" si="2"/>
        <v>2.1056783400874579E-3</v>
      </c>
      <c r="H45" s="110"/>
      <c r="I45" s="88"/>
      <c r="J45" s="73" t="s">
        <v>71</v>
      </c>
      <c r="K45" s="68"/>
      <c r="L45" s="26">
        <f t="shared" si="5"/>
        <v>2371070.6975580705</v>
      </c>
      <c r="M45" s="77">
        <f>L44*(1+$N$8)</f>
        <v>2222111.6398133058</v>
      </c>
      <c r="N45" s="78">
        <f>L44*(1+50%+$N$8)</f>
        <v>2520029.7553028357</v>
      </c>
    </row>
    <row r="46" spans="1:14" ht="12.75" customHeight="1" x14ac:dyDescent="0.15">
      <c r="A46" s="111" t="s">
        <v>78</v>
      </c>
      <c r="B46" s="112">
        <f>$B$44*(1-($B$14*(1-$B$16)))</f>
        <v>2371070.6975580705</v>
      </c>
      <c r="C46" s="113"/>
      <c r="D46" s="113"/>
      <c r="E46" s="114"/>
      <c r="F46" s="115">
        <f>$F$44*(1-($B$14*(1-$B$16)))</f>
        <v>2377029.0598678607</v>
      </c>
      <c r="G46" s="116">
        <f t="shared" si="2"/>
        <v>2.512941649494671E-3</v>
      </c>
      <c r="J46" s="117" t="s">
        <v>74</v>
      </c>
      <c r="K46" s="118"/>
      <c r="L46" s="119">
        <f t="shared" si="5"/>
        <v>2371070.6975580705</v>
      </c>
      <c r="M46" s="119">
        <f t="shared" ref="M46:N46" si="6">IF(M45&gt;$B$10,$B$10,M45)</f>
        <v>2222111.6398133058</v>
      </c>
      <c r="N46" s="119">
        <f t="shared" si="6"/>
        <v>2520029.7553028357</v>
      </c>
    </row>
    <row r="47" spans="1:14" ht="12.75" customHeight="1" x14ac:dyDescent="0.15"/>
    <row r="48" spans="1:14" ht="12.75" customHeight="1" x14ac:dyDescent="0.15"/>
    <row r="49" spans="12:13" ht="12.75" customHeight="1" x14ac:dyDescent="0.15"/>
    <row r="50" spans="12:13" ht="12.75" customHeight="1" x14ac:dyDescent="0.15">
      <c r="L50" s="120"/>
    </row>
    <row r="51" spans="12:13" ht="12.75" customHeight="1" x14ac:dyDescent="0.15">
      <c r="L51" s="121"/>
    </row>
    <row r="52" spans="12:13" ht="12.75" customHeight="1" x14ac:dyDescent="0.15"/>
    <row r="53" spans="12:13" ht="12.75" customHeight="1" x14ac:dyDescent="0.15">
      <c r="L53" s="120"/>
    </row>
    <row r="54" spans="12:13" ht="12.75" customHeight="1" x14ac:dyDescent="0.15">
      <c r="M54" s="121"/>
    </row>
    <row r="55" spans="12:13" ht="12.75" customHeight="1" x14ac:dyDescent="0.15"/>
    <row r="56" spans="12:13" ht="12.75" customHeight="1" x14ac:dyDescent="0.15"/>
    <row r="57" spans="12:13" ht="12.75" customHeight="1" x14ac:dyDescent="0.15"/>
    <row r="58" spans="12:13" ht="12.75" customHeight="1" x14ac:dyDescent="0.15"/>
    <row r="59" spans="12:13" ht="12.75" customHeight="1" x14ac:dyDescent="0.15"/>
    <row r="60" spans="12:13" ht="12.75" customHeight="1" x14ac:dyDescent="0.15"/>
    <row r="61" spans="12:13" ht="12.75" customHeight="1" x14ac:dyDescent="0.15"/>
    <row r="62" spans="12:13" ht="12.75" customHeight="1" x14ac:dyDescent="0.15"/>
    <row r="63" spans="12:13" ht="12.75" customHeight="1" x14ac:dyDescent="0.15"/>
    <row r="64" spans="12:13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</sheetData>
  <mergeCells count="19">
    <mergeCell ref="M20:N20"/>
    <mergeCell ref="A26:B26"/>
    <mergeCell ref="A31:B31"/>
    <mergeCell ref="E31:G31"/>
    <mergeCell ref="F8:G8"/>
    <mergeCell ref="F10:H11"/>
    <mergeCell ref="J12:K12"/>
    <mergeCell ref="F17:G17"/>
    <mergeCell ref="J20:K20"/>
    <mergeCell ref="F6:G6"/>
    <mergeCell ref="F7:G7"/>
    <mergeCell ref="F27:G27"/>
    <mergeCell ref="J28:K28"/>
    <mergeCell ref="A30:G30"/>
    <mergeCell ref="A1:N1"/>
    <mergeCell ref="F2:G2"/>
    <mergeCell ref="F3:G3"/>
    <mergeCell ref="F4:G4"/>
    <mergeCell ref="F5:G5"/>
  </mergeCells>
  <dataValidations count="3">
    <dataValidation type="list" allowBlank="1" showInputMessage="1" showErrorMessage="1" prompt="50%炸蝦    30%小雞" sqref="K2:K3" xr:uid="{00000000-0002-0000-0000-000000000000}">
      <formula1>"50%,30%,0%"</formula1>
    </dataValidation>
    <dataValidation type="list" allowBlank="1" showErrorMessage="1" sqref="H2:H8" xr:uid="{00000000-0002-0000-0000-000001000000}">
      <formula1>"0,1"</formula1>
    </dataValidation>
    <dataValidation type="list" allowBlank="1" showErrorMessage="1" sqref="K4:K11 K14 L19 B19:C23" xr:uid="{00000000-0002-0000-0000-000002000000}">
      <formula1>"1,0"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2.6640625" defaultRowHeight="15" customHeight="1" x14ac:dyDescent="0.15"/>
  <cols>
    <col min="1" max="1" width="44.1640625" customWidth="1"/>
    <col min="2" max="6" width="8.6640625" customWidth="1"/>
    <col min="7" max="26" width="14.33203125" customWidth="1"/>
  </cols>
  <sheetData>
    <row r="1" spans="1:4" ht="12.75" customHeight="1" x14ac:dyDescent="0.15">
      <c r="A1" s="63" t="s">
        <v>79</v>
      </c>
      <c r="B1" s="122"/>
      <c r="C1" s="123"/>
      <c r="D1" s="124"/>
    </row>
    <row r="2" spans="1:4" ht="12.75" customHeight="1" x14ac:dyDescent="0.15">
      <c r="A2" s="58" t="s">
        <v>80</v>
      </c>
      <c r="B2" s="125" t="s">
        <v>81</v>
      </c>
      <c r="D2" s="54"/>
    </row>
    <row r="3" spans="1:4" ht="12.75" customHeight="1" x14ac:dyDescent="0.15">
      <c r="A3" s="58" t="s">
        <v>82</v>
      </c>
      <c r="B3" s="126" t="s">
        <v>83</v>
      </c>
      <c r="D3" s="54"/>
    </row>
    <row r="4" spans="1:4" ht="12.75" customHeight="1" x14ac:dyDescent="0.15">
      <c r="A4" s="58" t="s">
        <v>84</v>
      </c>
      <c r="B4" s="126" t="s">
        <v>85</v>
      </c>
      <c r="D4" s="54"/>
    </row>
    <row r="5" spans="1:4" ht="12.75" customHeight="1" x14ac:dyDescent="0.15">
      <c r="A5" s="59" t="s">
        <v>86</v>
      </c>
      <c r="B5" s="127" t="s">
        <v>87</v>
      </c>
      <c r="C5" s="118"/>
      <c r="D5" s="128"/>
    </row>
    <row r="6" spans="1:4" ht="12.75" customHeight="1" x14ac:dyDescent="0.15">
      <c r="A6" s="129" t="s">
        <v>88</v>
      </c>
      <c r="B6" s="130" t="s">
        <v>89</v>
      </c>
      <c r="C6" s="35"/>
      <c r="D6" s="54"/>
    </row>
    <row r="7" spans="1:4" ht="12.75" customHeight="1" x14ac:dyDescent="0.15">
      <c r="A7" s="131" t="s">
        <v>90</v>
      </c>
      <c r="B7" s="132" t="s">
        <v>91</v>
      </c>
      <c r="C7" s="91"/>
      <c r="D7" s="92"/>
    </row>
    <row r="8" spans="1:4" ht="12.75" customHeight="1" x14ac:dyDescent="0.15">
      <c r="A8" s="133" t="s">
        <v>92</v>
      </c>
      <c r="B8" s="134" t="s">
        <v>93</v>
      </c>
      <c r="C8" s="135"/>
      <c r="D8" s="136"/>
    </row>
    <row r="9" spans="1:4" ht="12.75" customHeight="1" x14ac:dyDescent="0.15">
      <c r="A9" s="137" t="s">
        <v>94</v>
      </c>
      <c r="B9" s="138" t="s">
        <v>95</v>
      </c>
      <c r="C9" s="91"/>
      <c r="D9" s="91"/>
    </row>
    <row r="10" spans="1:4" ht="12.75" customHeight="1" x14ac:dyDescent="0.15"/>
    <row r="11" spans="1:4" ht="12.75" customHeight="1" x14ac:dyDescent="0.15">
      <c r="A11" s="63" t="s">
        <v>96</v>
      </c>
      <c r="B11" s="123"/>
      <c r="C11" s="123"/>
      <c r="D11" s="65" t="s">
        <v>97</v>
      </c>
    </row>
    <row r="12" spans="1:4" ht="12.75" customHeight="1" x14ac:dyDescent="0.15">
      <c r="A12" s="62"/>
      <c r="B12" s="35"/>
      <c r="C12" s="35"/>
      <c r="D12" s="139"/>
    </row>
    <row r="13" spans="1:4" ht="12.75" customHeight="1" x14ac:dyDescent="0.15">
      <c r="A13" s="58" t="s">
        <v>98</v>
      </c>
      <c r="D13" s="54"/>
    </row>
    <row r="14" spans="1:4" ht="12.75" customHeight="1" x14ac:dyDescent="0.15">
      <c r="A14" s="140" t="s">
        <v>99</v>
      </c>
      <c r="D14" s="54"/>
    </row>
    <row r="15" spans="1:4" ht="12.75" customHeight="1" x14ac:dyDescent="0.15">
      <c r="A15" s="140" t="s">
        <v>100</v>
      </c>
      <c r="D15" s="54"/>
    </row>
    <row r="16" spans="1:4" ht="12.75" customHeight="1" x14ac:dyDescent="0.15">
      <c r="A16" s="141" t="s">
        <v>101</v>
      </c>
      <c r="D16" s="54"/>
    </row>
    <row r="17" spans="1:4" ht="12.75" customHeight="1" x14ac:dyDescent="0.15">
      <c r="A17" s="59"/>
      <c r="B17" s="60"/>
      <c r="C17" s="60"/>
      <c r="D17" s="128"/>
    </row>
    <row r="18" spans="1:4" ht="12.75" customHeight="1" x14ac:dyDescent="0.15"/>
    <row r="19" spans="1:4" ht="12.75" customHeight="1" x14ac:dyDescent="0.15"/>
    <row r="20" spans="1:4" ht="12.75" customHeight="1" x14ac:dyDescent="0.15"/>
    <row r="21" spans="1:4" ht="12.75" customHeight="1" x14ac:dyDescent="0.15"/>
    <row r="22" spans="1:4" ht="12.75" customHeight="1" x14ac:dyDescent="0.15"/>
    <row r="23" spans="1:4" ht="12.75" customHeight="1" x14ac:dyDescent="0.15"/>
    <row r="24" spans="1:4" ht="12.75" customHeight="1" x14ac:dyDescent="0.15"/>
    <row r="25" spans="1:4" ht="12.75" customHeight="1" x14ac:dyDescent="0.15"/>
    <row r="26" spans="1:4" ht="12.75" customHeight="1" x14ac:dyDescent="0.15"/>
    <row r="27" spans="1:4" ht="12.75" customHeight="1" x14ac:dyDescent="0.15"/>
    <row r="28" spans="1:4" ht="12.75" customHeight="1" x14ac:dyDescent="0.15"/>
    <row r="29" spans="1:4" ht="12.75" customHeight="1" x14ac:dyDescent="0.15"/>
    <row r="30" spans="1:4" ht="12.75" customHeight="1" x14ac:dyDescent="0.15"/>
    <row r="31" spans="1:4" ht="12.75" customHeight="1" x14ac:dyDescent="0.15"/>
    <row r="32" spans="1:4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2" r:id="rId1" xr:uid="{00000000-0004-0000-0100-000000000000}"/>
    <hyperlink ref="B3" r:id="rId2" location="gid=0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2.6640625" defaultRowHeight="15" customHeight="1" x14ac:dyDescent="0.15"/>
  <cols>
    <col min="1" max="1" width="11.1640625" customWidth="1"/>
    <col min="2" max="2" width="10.1640625" customWidth="1"/>
    <col min="3" max="3" width="11.1640625" customWidth="1"/>
    <col min="4" max="4" width="26.1640625" customWidth="1"/>
    <col min="5" max="5" width="25.83203125" customWidth="1"/>
    <col min="6" max="6" width="8.6640625" customWidth="1"/>
    <col min="7" max="26" width="14.33203125" customWidth="1"/>
  </cols>
  <sheetData>
    <row r="1" spans="1:5" ht="12.75" customHeight="1" x14ac:dyDescent="0.15">
      <c r="A1" s="142" t="s">
        <v>102</v>
      </c>
      <c r="B1" s="142" t="s">
        <v>103</v>
      </c>
      <c r="C1" s="142" t="s">
        <v>104</v>
      </c>
      <c r="D1" s="142" t="s">
        <v>105</v>
      </c>
      <c r="E1" s="142" t="s">
        <v>106</v>
      </c>
    </row>
    <row r="2" spans="1:5" ht="12.75" customHeight="1" x14ac:dyDescent="0.15">
      <c r="A2" s="142">
        <v>1</v>
      </c>
      <c r="B2" s="143">
        <v>-511.26006999999993</v>
      </c>
      <c r="C2" s="142"/>
      <c r="D2" s="142"/>
      <c r="E2" s="142"/>
    </row>
    <row r="3" spans="1:5" ht="12.75" customHeight="1" x14ac:dyDescent="0.15">
      <c r="A3" s="142">
        <v>2</v>
      </c>
      <c r="B3" s="143">
        <v>-454.68311999999992</v>
      </c>
      <c r="C3" s="142"/>
      <c r="D3" s="142"/>
      <c r="E3" s="142"/>
    </row>
    <row r="4" spans="1:5" ht="12.75" customHeight="1" x14ac:dyDescent="0.15">
      <c r="A4" s="142">
        <v>3</v>
      </c>
      <c r="B4" s="143">
        <v>-396.12786999999992</v>
      </c>
      <c r="C4" s="142"/>
      <c r="D4" s="142"/>
      <c r="E4" s="142"/>
    </row>
    <row r="5" spans="1:5" ht="12.75" customHeight="1" x14ac:dyDescent="0.15">
      <c r="A5" s="142">
        <v>4</v>
      </c>
      <c r="B5" s="143">
        <v>-335.64231999999993</v>
      </c>
      <c r="C5" s="142"/>
      <c r="D5" s="142"/>
      <c r="E5" s="142"/>
    </row>
    <row r="6" spans="1:5" ht="12.75" customHeight="1" x14ac:dyDescent="0.15">
      <c r="A6" s="142">
        <v>5</v>
      </c>
      <c r="B6" s="143">
        <v>-273.27374999999995</v>
      </c>
      <c r="C6" s="142"/>
      <c r="D6" s="142"/>
      <c r="E6" s="142"/>
    </row>
    <row r="7" spans="1:5" ht="12.75" customHeight="1" x14ac:dyDescent="0.15">
      <c r="A7" s="142">
        <v>6</v>
      </c>
      <c r="B7" s="143">
        <v>-209.06871999999993</v>
      </c>
      <c r="C7" s="142"/>
      <c r="D7" s="142"/>
      <c r="E7" s="142"/>
    </row>
    <row r="8" spans="1:5" ht="12.75" customHeight="1" x14ac:dyDescent="0.15">
      <c r="A8" s="142">
        <v>7</v>
      </c>
      <c r="B8" s="143">
        <v>-143.07306999999992</v>
      </c>
      <c r="C8" s="142"/>
      <c r="D8" s="142"/>
      <c r="E8" s="142"/>
    </row>
    <row r="9" spans="1:5" ht="12.75" customHeight="1" x14ac:dyDescent="0.15">
      <c r="A9" s="142">
        <v>8</v>
      </c>
      <c r="B9" s="143">
        <v>-75.331919999999911</v>
      </c>
      <c r="C9" s="142"/>
      <c r="D9" s="142"/>
      <c r="E9" s="142"/>
    </row>
    <row r="10" spans="1:5" ht="12.75" customHeight="1" x14ac:dyDescent="0.15">
      <c r="A10" s="142">
        <v>9</v>
      </c>
      <c r="B10" s="143">
        <v>-5.88966999999991</v>
      </c>
      <c r="C10" s="142"/>
      <c r="D10" s="142"/>
      <c r="E10" s="142"/>
    </row>
    <row r="11" spans="1:5" ht="12.75" customHeight="1" x14ac:dyDescent="0.15">
      <c r="A11" s="142">
        <v>10</v>
      </c>
      <c r="B11" s="143">
        <v>65.21000000000015</v>
      </c>
      <c r="C11" s="142"/>
      <c r="D11" s="142"/>
      <c r="E11" s="142"/>
    </row>
    <row r="12" spans="1:5" ht="12.75" customHeight="1" x14ac:dyDescent="0.15">
      <c r="A12" s="142">
        <v>11</v>
      </c>
      <c r="B12" s="143">
        <v>137.9241300000001</v>
      </c>
      <c r="C12" s="142"/>
      <c r="D12" s="142"/>
      <c r="E12" s="142"/>
    </row>
    <row r="13" spans="1:5" ht="12.75" customHeight="1" x14ac:dyDescent="0.15">
      <c r="A13" s="142">
        <v>12</v>
      </c>
      <c r="B13" s="143">
        <v>212.21048000000008</v>
      </c>
      <c r="C13" s="142"/>
      <c r="D13" s="142"/>
      <c r="E13" s="142"/>
    </row>
    <row r="14" spans="1:5" ht="12.75" customHeight="1" x14ac:dyDescent="0.15">
      <c r="A14" s="142">
        <v>13</v>
      </c>
      <c r="B14" s="143">
        <v>288.02753000000007</v>
      </c>
      <c r="C14" s="142"/>
      <c r="D14" s="142"/>
      <c r="E14" s="142"/>
    </row>
    <row r="15" spans="1:5" ht="12.75" customHeight="1" x14ac:dyDescent="0.15">
      <c r="A15" s="142">
        <v>14</v>
      </c>
      <c r="B15" s="143">
        <v>365.33448000000021</v>
      </c>
      <c r="C15" s="142"/>
      <c r="D15" s="142"/>
      <c r="E15" s="142"/>
    </row>
    <row r="16" spans="1:5" ht="12.75" customHeight="1" x14ac:dyDescent="0.15">
      <c r="A16" s="142">
        <v>15</v>
      </c>
      <c r="B16" s="143">
        <v>444.09125000000017</v>
      </c>
      <c r="C16" s="142"/>
      <c r="D16" s="142"/>
      <c r="E16" s="142"/>
    </row>
    <row r="17" spans="1:5" ht="12.75" customHeight="1" x14ac:dyDescent="0.15">
      <c r="A17" s="142">
        <v>16</v>
      </c>
      <c r="B17" s="143">
        <v>524.25848000000019</v>
      </c>
      <c r="C17" s="142"/>
      <c r="D17" s="142"/>
      <c r="E17" s="142"/>
    </row>
    <row r="18" spans="1:5" ht="12.75" customHeight="1" x14ac:dyDescent="0.15">
      <c r="A18" s="142">
        <v>17</v>
      </c>
      <c r="B18" s="143">
        <v>605.79753000000005</v>
      </c>
      <c r="C18" s="142"/>
      <c r="D18" s="142"/>
      <c r="E18" s="142"/>
    </row>
    <row r="19" spans="1:5" ht="12.75" customHeight="1" x14ac:dyDescent="0.15">
      <c r="A19" s="142">
        <v>18</v>
      </c>
      <c r="B19" s="143">
        <v>688.67048</v>
      </c>
      <c r="C19" s="142"/>
      <c r="D19" s="142"/>
      <c r="E19" s="142"/>
    </row>
    <row r="20" spans="1:5" ht="12.75" customHeight="1" x14ac:dyDescent="0.15">
      <c r="A20" s="142">
        <v>19</v>
      </c>
      <c r="B20" s="143">
        <v>772.84013000000004</v>
      </c>
      <c r="C20" s="142"/>
      <c r="D20" s="142"/>
      <c r="E20" s="142"/>
    </row>
    <row r="21" spans="1:5" ht="12.75" customHeight="1" x14ac:dyDescent="0.15">
      <c r="A21" s="142">
        <v>20</v>
      </c>
      <c r="B21" s="143">
        <v>858.27000000000021</v>
      </c>
      <c r="C21" s="142"/>
      <c r="D21" s="142"/>
      <c r="E21" s="142"/>
    </row>
    <row r="22" spans="1:5" ht="12.75" customHeight="1" x14ac:dyDescent="0.15">
      <c r="A22" s="142">
        <v>21</v>
      </c>
      <c r="B22" s="143">
        <v>944.92433000000028</v>
      </c>
      <c r="C22" s="142"/>
      <c r="D22" s="142"/>
      <c r="E22" s="142"/>
    </row>
    <row r="23" spans="1:5" ht="12.75" customHeight="1" x14ac:dyDescent="0.15">
      <c r="A23" s="142">
        <v>22</v>
      </c>
      <c r="B23" s="143">
        <v>1032.7680800000003</v>
      </c>
      <c r="C23" s="142"/>
      <c r="D23" s="142"/>
      <c r="E23" s="142"/>
    </row>
    <row r="24" spans="1:5" ht="12.75" customHeight="1" x14ac:dyDescent="0.15">
      <c r="A24" s="142">
        <v>23</v>
      </c>
      <c r="B24" s="143">
        <v>1121.7669300000002</v>
      </c>
      <c r="C24" s="142"/>
      <c r="D24" s="142"/>
      <c r="E24" s="142"/>
    </row>
    <row r="25" spans="1:5" ht="12.75" customHeight="1" x14ac:dyDescent="0.15">
      <c r="A25" s="142">
        <v>24</v>
      </c>
      <c r="B25" s="143">
        <v>1211.8872799999999</v>
      </c>
      <c r="C25" s="142"/>
      <c r="D25" s="142"/>
      <c r="E25" s="142"/>
    </row>
    <row r="26" spans="1:5" ht="12.75" customHeight="1" x14ac:dyDescent="0.15">
      <c r="A26" s="142">
        <v>25</v>
      </c>
      <c r="B26" s="143">
        <v>1303.0962500000001</v>
      </c>
      <c r="C26" s="142"/>
      <c r="D26" s="142"/>
      <c r="E26" s="142"/>
    </row>
    <row r="27" spans="1:5" ht="12.75" customHeight="1" x14ac:dyDescent="0.15">
      <c r="A27" s="142">
        <v>26</v>
      </c>
      <c r="B27" s="143">
        <v>1395.36168</v>
      </c>
      <c r="C27" s="142"/>
      <c r="D27" s="142"/>
      <c r="E27" s="142"/>
    </row>
    <row r="28" spans="1:5" ht="12.75" customHeight="1" x14ac:dyDescent="0.15">
      <c r="A28" s="142">
        <v>27</v>
      </c>
      <c r="B28" s="143">
        <v>1488.6521300000004</v>
      </c>
      <c r="C28" s="142"/>
      <c r="D28" s="142"/>
      <c r="E28" s="142"/>
    </row>
    <row r="29" spans="1:5" ht="12.75" customHeight="1" x14ac:dyDescent="0.15">
      <c r="A29" s="142">
        <v>28</v>
      </c>
      <c r="B29" s="143">
        <v>1582.9368800000002</v>
      </c>
      <c r="C29" s="142"/>
      <c r="D29" s="142"/>
      <c r="E29" s="142"/>
    </row>
    <row r="30" spans="1:5" ht="12.75" customHeight="1" x14ac:dyDescent="0.15">
      <c r="A30" s="142">
        <v>29</v>
      </c>
      <c r="B30" s="143">
        <v>1678.1859300000001</v>
      </c>
      <c r="C30" s="142"/>
      <c r="D30" s="142"/>
      <c r="E30" s="142"/>
    </row>
    <row r="31" spans="1:5" ht="12.75" customHeight="1" x14ac:dyDescent="0.15">
      <c r="A31" s="142">
        <v>30</v>
      </c>
      <c r="B31" s="143">
        <v>1774.3700000000003</v>
      </c>
      <c r="C31" s="142"/>
      <c r="D31" s="142"/>
      <c r="E31" s="142"/>
    </row>
    <row r="32" spans="1:5" ht="12.75" customHeight="1" x14ac:dyDescent="0.15">
      <c r="A32" s="142">
        <v>31</v>
      </c>
      <c r="B32" s="143">
        <v>1871.4605300000003</v>
      </c>
      <c r="C32" s="142"/>
      <c r="D32" s="142"/>
      <c r="E32" s="142"/>
    </row>
    <row r="33" spans="1:5" ht="12.75" customHeight="1" x14ac:dyDescent="0.15">
      <c r="A33" s="142">
        <v>32</v>
      </c>
      <c r="B33" s="143">
        <v>1969.4296800000002</v>
      </c>
      <c r="C33" s="142"/>
      <c r="D33" s="142"/>
      <c r="E33" s="142"/>
    </row>
    <row r="34" spans="1:5" ht="12.75" customHeight="1" x14ac:dyDescent="0.15">
      <c r="A34" s="142">
        <v>33</v>
      </c>
      <c r="B34" s="143">
        <v>2068.2503300000003</v>
      </c>
      <c r="C34" s="142"/>
      <c r="D34" s="142"/>
      <c r="E34" s="142"/>
    </row>
    <row r="35" spans="1:5" ht="12.75" customHeight="1" x14ac:dyDescent="0.15">
      <c r="A35" s="142">
        <v>34</v>
      </c>
      <c r="B35" s="143">
        <v>2167.89608</v>
      </c>
      <c r="C35" s="142"/>
      <c r="D35" s="142"/>
      <c r="E35" s="142"/>
    </row>
    <row r="36" spans="1:5" ht="12.75" customHeight="1" x14ac:dyDescent="0.15">
      <c r="A36" s="142">
        <v>35</v>
      </c>
      <c r="B36" s="143">
        <v>2268.3412499999999</v>
      </c>
      <c r="C36" s="142"/>
      <c r="D36" s="142"/>
      <c r="E36" s="142"/>
    </row>
    <row r="37" spans="1:5" ht="12.75" customHeight="1" x14ac:dyDescent="0.15">
      <c r="A37" s="142">
        <v>36</v>
      </c>
      <c r="B37" s="143">
        <v>2369.56088</v>
      </c>
      <c r="C37" s="142"/>
      <c r="D37" s="142"/>
      <c r="E37" s="142"/>
    </row>
    <row r="38" spans="1:5" ht="12.75" customHeight="1" x14ac:dyDescent="0.15">
      <c r="A38" s="142">
        <v>37</v>
      </c>
      <c r="B38" s="143">
        <v>2471.5307299999999</v>
      </c>
      <c r="C38" s="142"/>
      <c r="D38" s="142"/>
      <c r="E38" s="142"/>
    </row>
    <row r="39" spans="1:5" ht="12.75" customHeight="1" x14ac:dyDescent="0.15">
      <c r="A39" s="142">
        <v>38</v>
      </c>
      <c r="B39" s="143">
        <v>2574.2272800000005</v>
      </c>
      <c r="C39" s="142"/>
      <c r="D39" s="142"/>
      <c r="E39" s="142"/>
    </row>
    <row r="40" spans="1:5" ht="12.75" customHeight="1" x14ac:dyDescent="0.15">
      <c r="A40" s="142">
        <v>39</v>
      </c>
      <c r="B40" s="143">
        <v>2677.6277300000002</v>
      </c>
      <c r="C40" s="142"/>
      <c r="D40" s="142"/>
      <c r="E40" s="142"/>
    </row>
    <row r="41" spans="1:5" ht="12.75" customHeight="1" x14ac:dyDescent="0.15">
      <c r="A41" s="142">
        <v>40</v>
      </c>
      <c r="B41" s="143">
        <v>2781.7100000000005</v>
      </c>
      <c r="C41" s="142"/>
      <c r="D41" s="142"/>
      <c r="E41" s="142"/>
    </row>
    <row r="42" spans="1:5" ht="12.75" customHeight="1" x14ac:dyDescent="0.15">
      <c r="A42" s="142">
        <v>41</v>
      </c>
      <c r="B42" s="143">
        <v>2886.4527300000004</v>
      </c>
      <c r="C42" s="142"/>
      <c r="D42" s="142"/>
      <c r="E42" s="142"/>
    </row>
    <row r="43" spans="1:5" ht="12.75" customHeight="1" x14ac:dyDescent="0.15">
      <c r="A43" s="142">
        <v>42</v>
      </c>
      <c r="B43" s="143">
        <v>2991.8352800000002</v>
      </c>
      <c r="C43" s="142"/>
      <c r="D43" s="142"/>
      <c r="E43" s="142"/>
    </row>
    <row r="44" spans="1:5" ht="12.75" customHeight="1" x14ac:dyDescent="0.15">
      <c r="A44" s="142">
        <v>43</v>
      </c>
      <c r="B44" s="143">
        <v>3097.8377300000002</v>
      </c>
      <c r="C44" s="142"/>
      <c r="D44" s="142"/>
      <c r="E44" s="142"/>
    </row>
    <row r="45" spans="1:5" ht="12.75" customHeight="1" x14ac:dyDescent="0.15">
      <c r="A45" s="142">
        <v>44</v>
      </c>
      <c r="B45" s="143">
        <v>3204.4408800000006</v>
      </c>
      <c r="C45" s="142"/>
      <c r="D45" s="142"/>
      <c r="E45" s="142"/>
    </row>
    <row r="46" spans="1:5" ht="12.75" customHeight="1" x14ac:dyDescent="0.15">
      <c r="A46" s="142">
        <v>45</v>
      </c>
      <c r="B46" s="143">
        <v>3311.6262500000003</v>
      </c>
      <c r="C46" s="142"/>
      <c r="D46" s="142"/>
      <c r="E46" s="142"/>
    </row>
    <row r="47" spans="1:5" ht="12.75" customHeight="1" x14ac:dyDescent="0.15">
      <c r="A47" s="142">
        <v>46</v>
      </c>
      <c r="B47" s="143">
        <v>3419.37608</v>
      </c>
      <c r="C47" s="142"/>
      <c r="D47" s="142"/>
      <c r="E47" s="142"/>
    </row>
    <row r="48" spans="1:5" ht="12.75" customHeight="1" x14ac:dyDescent="0.15">
      <c r="A48" s="142">
        <v>47</v>
      </c>
      <c r="B48" s="143">
        <v>3527.6733300000001</v>
      </c>
      <c r="C48" s="142"/>
      <c r="D48" s="142"/>
      <c r="E48" s="142"/>
    </row>
    <row r="49" spans="1:5" ht="12.75" customHeight="1" x14ac:dyDescent="0.15">
      <c r="A49" s="142">
        <v>48</v>
      </c>
      <c r="B49" s="143">
        <v>3636.5016799999999</v>
      </c>
      <c r="C49" s="142"/>
      <c r="D49" s="142"/>
      <c r="E49" s="142"/>
    </row>
    <row r="50" spans="1:5" ht="12.75" customHeight="1" x14ac:dyDescent="0.15">
      <c r="A50" s="142">
        <v>49</v>
      </c>
      <c r="B50" s="143">
        <v>3745.8455300000001</v>
      </c>
      <c r="C50" s="142"/>
      <c r="D50" s="142"/>
      <c r="E50" s="142"/>
    </row>
    <row r="51" spans="1:5" ht="12.75" customHeight="1" x14ac:dyDescent="0.15">
      <c r="A51" s="142">
        <v>50</v>
      </c>
      <c r="B51" s="143">
        <v>3855.69</v>
      </c>
      <c r="C51" s="142"/>
      <c r="D51" s="142"/>
      <c r="E51" s="142"/>
    </row>
    <row r="52" spans="1:5" ht="12.75" customHeight="1" x14ac:dyDescent="0.15">
      <c r="A52" s="142">
        <v>51</v>
      </c>
      <c r="B52" s="143">
        <v>3966.0209300000001</v>
      </c>
      <c r="C52" s="142"/>
      <c r="D52" s="142"/>
      <c r="E52" s="142"/>
    </row>
    <row r="53" spans="1:5" ht="12.75" customHeight="1" x14ac:dyDescent="0.15">
      <c r="A53" s="142">
        <v>52</v>
      </c>
      <c r="B53" s="143">
        <v>4076.8248799999997</v>
      </c>
      <c r="C53" s="142"/>
      <c r="D53" s="142"/>
      <c r="E53" s="142"/>
    </row>
    <row r="54" spans="1:5" ht="12.75" customHeight="1" x14ac:dyDescent="0.15">
      <c r="A54" s="142">
        <v>53</v>
      </c>
      <c r="B54" s="143">
        <v>4188.0891300000003</v>
      </c>
      <c r="C54" s="142"/>
      <c r="D54" s="142"/>
      <c r="E54" s="142"/>
    </row>
    <row r="55" spans="1:5" ht="12.75" customHeight="1" x14ac:dyDescent="0.15">
      <c r="A55" s="142">
        <v>54</v>
      </c>
      <c r="B55" s="143">
        <v>4299.8016800000005</v>
      </c>
      <c r="C55" s="142"/>
      <c r="D55" s="142"/>
      <c r="E55" s="142"/>
    </row>
    <row r="56" spans="1:5" ht="12.75" customHeight="1" x14ac:dyDescent="0.15">
      <c r="A56" s="142">
        <v>55</v>
      </c>
      <c r="B56" s="143">
        <v>4411.9512500000001</v>
      </c>
      <c r="C56" s="142"/>
      <c r="D56" s="142"/>
      <c r="E56" s="142"/>
    </row>
    <row r="57" spans="1:5" ht="12.75" customHeight="1" x14ac:dyDescent="0.15">
      <c r="A57" s="142">
        <v>56</v>
      </c>
      <c r="B57" s="143">
        <v>4524.5272800000002</v>
      </c>
      <c r="C57" s="142"/>
      <c r="D57" s="142"/>
      <c r="E57" s="142"/>
    </row>
    <row r="58" spans="1:5" ht="12.75" customHeight="1" x14ac:dyDescent="0.15">
      <c r="A58" s="142">
        <v>57</v>
      </c>
      <c r="B58" s="143">
        <v>4637.5199300000004</v>
      </c>
      <c r="C58" s="142"/>
      <c r="D58" s="142"/>
      <c r="E58" s="142"/>
    </row>
    <row r="59" spans="1:5" ht="12.75" customHeight="1" x14ac:dyDescent="0.15">
      <c r="A59" s="142">
        <v>58</v>
      </c>
      <c r="B59" s="143">
        <v>4750.9200800000017</v>
      </c>
      <c r="C59" s="142"/>
      <c r="D59" s="142"/>
      <c r="E59" s="142"/>
    </row>
    <row r="60" spans="1:5" ht="12.75" customHeight="1" x14ac:dyDescent="0.15">
      <c r="A60" s="142">
        <v>59</v>
      </c>
      <c r="B60" s="143">
        <v>4864.7193299999999</v>
      </c>
      <c r="C60" s="142"/>
      <c r="D60" s="142"/>
      <c r="E60" s="142"/>
    </row>
    <row r="61" spans="1:5" ht="12.75" customHeight="1" x14ac:dyDescent="0.15">
      <c r="A61" s="142">
        <v>60</v>
      </c>
      <c r="B61" s="143">
        <v>4978.91</v>
      </c>
      <c r="C61" s="142"/>
      <c r="D61" s="142"/>
      <c r="E61" s="142"/>
    </row>
    <row r="62" spans="1:5" ht="12.75" customHeight="1" x14ac:dyDescent="0.15">
      <c r="A62" s="142">
        <v>61</v>
      </c>
      <c r="B62" s="143">
        <v>5093.4851300000009</v>
      </c>
      <c r="C62" s="142"/>
      <c r="D62" s="142"/>
      <c r="E62" s="142"/>
    </row>
    <row r="63" spans="1:5" ht="12.75" customHeight="1" x14ac:dyDescent="0.15">
      <c r="A63" s="142">
        <v>62</v>
      </c>
      <c r="B63" s="143">
        <v>5208.4384800000007</v>
      </c>
      <c r="C63" s="142"/>
      <c r="D63" s="142"/>
      <c r="E63" s="142"/>
    </row>
    <row r="64" spans="1:5" ht="12.75" customHeight="1" x14ac:dyDescent="0.15">
      <c r="A64" s="142">
        <v>63</v>
      </c>
      <c r="B64" s="143">
        <v>5323.7645300000004</v>
      </c>
      <c r="C64" s="142"/>
      <c r="D64" s="142"/>
      <c r="E64" s="142"/>
    </row>
    <row r="65" spans="1:5" ht="12.75" customHeight="1" x14ac:dyDescent="0.15">
      <c r="A65" s="142">
        <v>64</v>
      </c>
      <c r="B65" s="143">
        <v>5439.4584800000011</v>
      </c>
      <c r="C65" s="142"/>
      <c r="D65" s="142"/>
      <c r="E65" s="142"/>
    </row>
    <row r="66" spans="1:5" ht="12.75" customHeight="1" x14ac:dyDescent="0.15">
      <c r="A66" s="142">
        <v>65</v>
      </c>
      <c r="B66" s="143">
        <v>5555.5162500000006</v>
      </c>
      <c r="C66" s="142"/>
      <c r="D66" s="142"/>
      <c r="E66" s="142"/>
    </row>
    <row r="67" spans="1:5" ht="12.75" customHeight="1" x14ac:dyDescent="0.15">
      <c r="A67" s="142">
        <v>66</v>
      </c>
      <c r="B67" s="143">
        <v>5671.9344799999999</v>
      </c>
      <c r="C67" s="142"/>
      <c r="D67" s="142"/>
      <c r="E67" s="142"/>
    </row>
    <row r="68" spans="1:5" ht="12.75" customHeight="1" x14ac:dyDescent="0.15">
      <c r="A68" s="142">
        <v>67</v>
      </c>
      <c r="B68" s="143">
        <v>5788.7105300000003</v>
      </c>
      <c r="C68" s="142"/>
      <c r="D68" s="142"/>
      <c r="E68" s="142"/>
    </row>
    <row r="69" spans="1:5" ht="12.75" customHeight="1" x14ac:dyDescent="0.15">
      <c r="A69" s="142">
        <v>68</v>
      </c>
      <c r="B69" s="143">
        <v>5905.8424800000012</v>
      </c>
      <c r="C69" s="142"/>
      <c r="D69" s="142"/>
      <c r="E69" s="142"/>
    </row>
    <row r="70" spans="1:5" ht="12.75" customHeight="1" x14ac:dyDescent="0.15">
      <c r="A70" s="142">
        <v>69</v>
      </c>
      <c r="B70" s="143">
        <v>6023.3291300000001</v>
      </c>
      <c r="C70" s="142"/>
      <c r="D70" s="142"/>
      <c r="E70" s="142"/>
    </row>
    <row r="71" spans="1:5" ht="12.75" customHeight="1" x14ac:dyDescent="0.15">
      <c r="A71" s="142">
        <v>70</v>
      </c>
      <c r="B71" s="143">
        <v>6141.17</v>
      </c>
      <c r="C71" s="142"/>
      <c r="D71" s="142"/>
      <c r="E71" s="142"/>
    </row>
    <row r="72" spans="1:5" ht="12.75" customHeight="1" x14ac:dyDescent="0.15">
      <c r="A72" s="142">
        <v>71</v>
      </c>
      <c r="B72" s="143">
        <v>6259.3653300000005</v>
      </c>
      <c r="C72" s="142"/>
      <c r="D72" s="142"/>
      <c r="E72" s="142"/>
    </row>
    <row r="73" spans="1:5" ht="12.75" customHeight="1" x14ac:dyDescent="0.15">
      <c r="A73" s="142">
        <v>72</v>
      </c>
      <c r="B73" s="143">
        <v>6377.9160800000009</v>
      </c>
      <c r="C73" s="142"/>
      <c r="D73" s="142"/>
      <c r="E73" s="142"/>
    </row>
    <row r="74" spans="1:5" ht="12.75" customHeight="1" x14ac:dyDescent="0.15">
      <c r="A74" s="142">
        <v>73</v>
      </c>
      <c r="B74" s="143">
        <v>6496.8239300000005</v>
      </c>
      <c r="C74" s="142"/>
      <c r="D74" s="142"/>
      <c r="E74" s="142"/>
    </row>
    <row r="75" spans="1:5" ht="12.75" customHeight="1" x14ac:dyDescent="0.15">
      <c r="A75" s="142">
        <v>74</v>
      </c>
      <c r="B75" s="143">
        <v>6616.0912800000006</v>
      </c>
      <c r="C75" s="142"/>
      <c r="D75" s="142"/>
      <c r="E75" s="142"/>
    </row>
    <row r="76" spans="1:5" ht="12.75" customHeight="1" x14ac:dyDescent="0.15">
      <c r="A76" s="142">
        <v>75</v>
      </c>
      <c r="B76" s="143">
        <v>6735.7212500000005</v>
      </c>
      <c r="C76" s="142"/>
      <c r="D76" s="142"/>
      <c r="E76" s="142"/>
    </row>
    <row r="77" spans="1:5" ht="12.75" customHeight="1" x14ac:dyDescent="0.15">
      <c r="A77" s="142">
        <v>76</v>
      </c>
      <c r="B77" s="143">
        <v>6855.7176800000016</v>
      </c>
      <c r="C77" s="142"/>
      <c r="D77" s="142"/>
      <c r="E77" s="142"/>
    </row>
    <row r="78" spans="1:5" ht="12.75" customHeight="1" x14ac:dyDescent="0.15">
      <c r="A78" s="142">
        <v>77</v>
      </c>
      <c r="B78" s="143">
        <v>6976.0851299999995</v>
      </c>
      <c r="C78" s="142"/>
      <c r="D78" s="142"/>
      <c r="E78" s="142"/>
    </row>
    <row r="79" spans="1:5" ht="12.75" customHeight="1" x14ac:dyDescent="0.15">
      <c r="A79" s="142">
        <v>78</v>
      </c>
      <c r="B79" s="143">
        <v>7096.8288800000009</v>
      </c>
      <c r="C79" s="142"/>
      <c r="D79" s="142"/>
      <c r="E79" s="142"/>
    </row>
    <row r="80" spans="1:5" ht="12.75" customHeight="1" x14ac:dyDescent="0.15">
      <c r="A80" s="142">
        <v>79</v>
      </c>
      <c r="B80" s="143">
        <v>7217.9549299999999</v>
      </c>
      <c r="C80" s="142"/>
      <c r="D80" s="142"/>
      <c r="E80" s="142"/>
    </row>
    <row r="81" spans="1:5" ht="12.75" customHeight="1" x14ac:dyDescent="0.15">
      <c r="A81" s="142">
        <v>80</v>
      </c>
      <c r="B81" s="143">
        <v>7339.4700000000012</v>
      </c>
      <c r="C81" s="142"/>
      <c r="D81" s="142"/>
      <c r="E81" s="142"/>
    </row>
    <row r="82" spans="1:5" ht="12.75" customHeight="1" x14ac:dyDescent="0.15">
      <c r="A82" s="142">
        <v>81</v>
      </c>
      <c r="B82" s="143">
        <v>7461.3815300000006</v>
      </c>
      <c r="C82" s="142"/>
      <c r="D82" s="142"/>
      <c r="E82" s="142"/>
    </row>
    <row r="83" spans="1:5" ht="12.75" customHeight="1" x14ac:dyDescent="0.15">
      <c r="A83" s="142">
        <v>82</v>
      </c>
      <c r="B83" s="143">
        <v>7583.6976800000011</v>
      </c>
      <c r="C83" s="142"/>
      <c r="D83" s="142"/>
      <c r="E83" s="142"/>
    </row>
    <row r="84" spans="1:5" ht="12.75" customHeight="1" x14ac:dyDescent="0.15">
      <c r="A84" s="142">
        <v>83</v>
      </c>
      <c r="B84" s="143">
        <v>7706.4273300000004</v>
      </c>
      <c r="C84" s="142"/>
      <c r="D84" s="142"/>
      <c r="E84" s="142"/>
    </row>
    <row r="85" spans="1:5" ht="12.75" customHeight="1" x14ac:dyDescent="0.15">
      <c r="A85" s="142">
        <v>84</v>
      </c>
      <c r="B85" s="143">
        <v>7829.5800800000015</v>
      </c>
      <c r="C85" s="142"/>
      <c r="D85" s="142"/>
      <c r="E85" s="142"/>
    </row>
    <row r="86" spans="1:5" ht="12.75" customHeight="1" x14ac:dyDescent="0.15">
      <c r="A86" s="142">
        <v>85</v>
      </c>
      <c r="B86" s="143">
        <v>7953.1662500000002</v>
      </c>
      <c r="C86" s="142"/>
      <c r="D86" s="142"/>
      <c r="E86" s="142"/>
    </row>
    <row r="87" spans="1:5" ht="12.75" customHeight="1" x14ac:dyDescent="0.15">
      <c r="A87" s="142">
        <v>86</v>
      </c>
      <c r="B87" s="143">
        <v>8077.1968800000013</v>
      </c>
      <c r="C87" s="142"/>
      <c r="D87" s="142"/>
      <c r="E87" s="142"/>
    </row>
    <row r="88" spans="1:5" ht="12.75" customHeight="1" x14ac:dyDescent="0.15">
      <c r="A88" s="142">
        <v>87</v>
      </c>
      <c r="B88" s="143">
        <v>8201.6837300000025</v>
      </c>
      <c r="C88" s="142"/>
      <c r="D88" s="142"/>
      <c r="E88" s="142"/>
    </row>
    <row r="89" spans="1:5" ht="12.75" customHeight="1" x14ac:dyDescent="0.15">
      <c r="A89" s="142">
        <v>88</v>
      </c>
      <c r="B89" s="143">
        <v>8326.6392800000012</v>
      </c>
      <c r="C89" s="142"/>
      <c r="D89" s="142"/>
      <c r="E89" s="142"/>
    </row>
    <row r="90" spans="1:5" ht="12.75" customHeight="1" x14ac:dyDescent="0.15">
      <c r="A90" s="142">
        <v>89</v>
      </c>
      <c r="B90" s="143">
        <v>8452.0767300000025</v>
      </c>
      <c r="C90" s="142"/>
      <c r="D90" s="142"/>
      <c r="E90" s="142"/>
    </row>
    <row r="91" spans="1:5" ht="12.75" customHeight="1" x14ac:dyDescent="0.15">
      <c r="A91" s="142">
        <v>90</v>
      </c>
      <c r="B91" s="143">
        <v>8578.01</v>
      </c>
      <c r="C91" s="142"/>
      <c r="D91" s="142"/>
      <c r="E91" s="142"/>
    </row>
    <row r="92" spans="1:5" ht="12.75" customHeight="1" x14ac:dyDescent="0.15">
      <c r="A92" s="142">
        <v>91</v>
      </c>
      <c r="B92" s="143">
        <v>8704.4537299999993</v>
      </c>
      <c r="C92" s="142"/>
      <c r="D92" s="142"/>
      <c r="E92" s="142"/>
    </row>
    <row r="93" spans="1:5" ht="12.75" customHeight="1" x14ac:dyDescent="0.15">
      <c r="A93" s="142">
        <v>92</v>
      </c>
      <c r="B93" s="143">
        <v>8831.4232800000009</v>
      </c>
      <c r="C93" s="142"/>
      <c r="D93" s="142"/>
      <c r="E93" s="142"/>
    </row>
    <row r="94" spans="1:5" ht="12.75" customHeight="1" x14ac:dyDescent="0.15">
      <c r="A94" s="142">
        <v>93</v>
      </c>
      <c r="B94" s="143">
        <v>8958.9347300000009</v>
      </c>
      <c r="C94" s="142"/>
      <c r="D94" s="142"/>
      <c r="E94" s="142"/>
    </row>
    <row r="95" spans="1:5" ht="12.75" customHeight="1" x14ac:dyDescent="0.15">
      <c r="A95" s="142">
        <v>94</v>
      </c>
      <c r="B95" s="143">
        <v>9087.0048800000022</v>
      </c>
      <c r="C95" s="142"/>
      <c r="D95" s="142"/>
      <c r="E95" s="142"/>
    </row>
    <row r="96" spans="1:5" ht="12.75" customHeight="1" x14ac:dyDescent="0.15">
      <c r="A96" s="142">
        <v>95</v>
      </c>
      <c r="B96" s="143">
        <v>9215.6512500000008</v>
      </c>
      <c r="C96" s="142"/>
      <c r="D96" s="142"/>
      <c r="E96" s="142"/>
    </row>
    <row r="97" spans="1:5" ht="12.75" customHeight="1" x14ac:dyDescent="0.15">
      <c r="A97" s="142">
        <v>96</v>
      </c>
      <c r="B97" s="143">
        <v>9344.8920799999996</v>
      </c>
      <c r="C97" s="142"/>
      <c r="D97" s="142"/>
      <c r="E97" s="142"/>
    </row>
    <row r="98" spans="1:5" ht="12.75" customHeight="1" x14ac:dyDescent="0.15">
      <c r="A98" s="142">
        <v>97</v>
      </c>
      <c r="B98" s="143">
        <v>9474.7463300000018</v>
      </c>
      <c r="C98" s="142"/>
      <c r="D98" s="142"/>
      <c r="E98" s="142"/>
    </row>
    <row r="99" spans="1:5" ht="12.75" customHeight="1" x14ac:dyDescent="0.15">
      <c r="A99" s="142">
        <v>98</v>
      </c>
      <c r="B99" s="143">
        <v>9605.2336800000012</v>
      </c>
      <c r="C99" s="142"/>
      <c r="D99" s="142"/>
      <c r="E99" s="142"/>
    </row>
    <row r="100" spans="1:5" ht="12.75" customHeight="1" x14ac:dyDescent="0.15">
      <c r="A100" s="142">
        <v>99</v>
      </c>
      <c r="B100" s="143">
        <v>9736.3745299999991</v>
      </c>
      <c r="C100" s="142"/>
      <c r="D100" s="142"/>
      <c r="E100" s="142"/>
    </row>
    <row r="101" spans="1:5" ht="12.75" customHeight="1" x14ac:dyDescent="0.15">
      <c r="A101" s="142">
        <v>100</v>
      </c>
      <c r="B101" s="143">
        <v>9868.19</v>
      </c>
      <c r="C101" s="142"/>
      <c r="D101" s="142"/>
      <c r="E101" s="142"/>
    </row>
    <row r="102" spans="1:5" ht="12.75" customHeight="1" x14ac:dyDescent="0.15">
      <c r="A102" s="142">
        <v>101</v>
      </c>
      <c r="B102" s="143">
        <v>10000.701930000001</v>
      </c>
      <c r="C102" s="142"/>
      <c r="D102" s="142"/>
      <c r="E102" s="142"/>
    </row>
    <row r="103" spans="1:5" ht="12.75" customHeight="1" x14ac:dyDescent="0.15">
      <c r="A103" s="142">
        <v>102</v>
      </c>
      <c r="B103" s="143">
        <v>10133.93288</v>
      </c>
      <c r="C103" s="142"/>
      <c r="D103" s="142"/>
      <c r="E103" s="142"/>
    </row>
    <row r="104" spans="1:5" ht="12.75" customHeight="1" x14ac:dyDescent="0.15">
      <c r="A104" s="142">
        <v>103</v>
      </c>
      <c r="B104" s="143">
        <v>10267.906130000001</v>
      </c>
      <c r="C104" s="142"/>
      <c r="D104" s="142"/>
      <c r="E104" s="142"/>
    </row>
    <row r="105" spans="1:5" ht="12.75" customHeight="1" x14ac:dyDescent="0.15">
      <c r="A105" s="142">
        <v>104</v>
      </c>
      <c r="B105" s="143">
        <v>10402.645680000001</v>
      </c>
      <c r="C105" s="142"/>
      <c r="D105" s="142"/>
      <c r="E105" s="142"/>
    </row>
    <row r="106" spans="1:5" ht="12.75" customHeight="1" x14ac:dyDescent="0.15">
      <c r="A106" s="142">
        <v>105</v>
      </c>
      <c r="B106" s="143">
        <v>10538.176250000002</v>
      </c>
      <c r="C106" s="142"/>
      <c r="D106" s="142"/>
      <c r="E106" s="142"/>
    </row>
    <row r="107" spans="1:5" ht="12.75" customHeight="1" x14ac:dyDescent="0.15">
      <c r="A107" s="142">
        <v>106</v>
      </c>
      <c r="B107" s="143">
        <v>10674.523279999999</v>
      </c>
      <c r="C107" s="142"/>
      <c r="D107" s="142"/>
      <c r="E107" s="142"/>
    </row>
    <row r="108" spans="1:5" ht="12.75" customHeight="1" x14ac:dyDescent="0.15">
      <c r="A108" s="142">
        <v>107</v>
      </c>
      <c r="B108" s="143">
        <v>10811.71293</v>
      </c>
      <c r="C108" s="142"/>
      <c r="D108" s="142"/>
      <c r="E108" s="142"/>
    </row>
    <row r="109" spans="1:5" ht="12.75" customHeight="1" x14ac:dyDescent="0.15">
      <c r="A109" s="142">
        <v>108</v>
      </c>
      <c r="B109" s="143">
        <v>10949.772080000001</v>
      </c>
      <c r="C109" s="142"/>
      <c r="D109" s="142"/>
      <c r="E109" s="142"/>
    </row>
    <row r="110" spans="1:5" ht="12.75" customHeight="1" x14ac:dyDescent="0.15">
      <c r="A110" s="142">
        <v>109</v>
      </c>
      <c r="B110" s="143">
        <v>11088.72833</v>
      </c>
      <c r="C110" s="142"/>
      <c r="D110" s="142"/>
      <c r="E110" s="142"/>
    </row>
    <row r="111" spans="1:5" ht="12.75" customHeight="1" x14ac:dyDescent="0.15">
      <c r="A111" s="142">
        <v>110</v>
      </c>
      <c r="B111" s="143">
        <v>11228.610000000002</v>
      </c>
      <c r="C111" s="142"/>
      <c r="D111" s="142"/>
      <c r="E111" s="142"/>
    </row>
    <row r="112" spans="1:5" ht="12.75" customHeight="1" x14ac:dyDescent="0.15">
      <c r="A112" s="142">
        <v>111</v>
      </c>
      <c r="B112" s="143">
        <v>11369.446130000002</v>
      </c>
      <c r="C112" s="142"/>
      <c r="D112" s="142"/>
      <c r="E112" s="142"/>
    </row>
    <row r="113" spans="1:5" ht="12.75" customHeight="1" x14ac:dyDescent="0.15">
      <c r="A113" s="142">
        <v>112</v>
      </c>
      <c r="B113" s="143">
        <v>11511.26648</v>
      </c>
      <c r="C113" s="142"/>
      <c r="D113" s="142"/>
      <c r="E113" s="142"/>
    </row>
    <row r="114" spans="1:5" ht="12.75" customHeight="1" x14ac:dyDescent="0.15">
      <c r="A114" s="142">
        <v>113</v>
      </c>
      <c r="B114" s="143">
        <v>11654.101530000002</v>
      </c>
      <c r="C114" s="142"/>
      <c r="D114" s="142"/>
      <c r="E114" s="142"/>
    </row>
    <row r="115" spans="1:5" ht="12.75" customHeight="1" x14ac:dyDescent="0.15">
      <c r="A115" s="142">
        <v>114</v>
      </c>
      <c r="B115" s="143">
        <v>11797.982480000001</v>
      </c>
      <c r="C115" s="142"/>
      <c r="D115" s="142"/>
      <c r="E115" s="142"/>
    </row>
    <row r="116" spans="1:5" ht="12.75" customHeight="1" x14ac:dyDescent="0.15">
      <c r="A116" s="142">
        <v>115</v>
      </c>
      <c r="B116" s="143">
        <v>11942.94125</v>
      </c>
      <c r="C116" s="142"/>
      <c r="D116" s="142"/>
      <c r="E116" s="142"/>
    </row>
    <row r="117" spans="1:5" ht="12.75" customHeight="1" x14ac:dyDescent="0.15">
      <c r="A117" s="142">
        <v>116</v>
      </c>
      <c r="B117" s="143">
        <v>12089.010480000003</v>
      </c>
      <c r="C117" s="142"/>
      <c r="D117" s="142"/>
      <c r="E117" s="142"/>
    </row>
    <row r="118" spans="1:5" ht="12.75" customHeight="1" x14ac:dyDescent="0.15">
      <c r="A118" s="142">
        <v>117</v>
      </c>
      <c r="B118" s="143">
        <v>12236.223530000001</v>
      </c>
      <c r="C118" s="142"/>
      <c r="D118" s="142"/>
      <c r="E118" s="142"/>
    </row>
    <row r="119" spans="1:5" ht="12.75" customHeight="1" x14ac:dyDescent="0.15">
      <c r="A119" s="142">
        <v>118</v>
      </c>
      <c r="B119" s="143">
        <v>12384.614480000002</v>
      </c>
      <c r="C119" s="142"/>
      <c r="D119" s="142"/>
      <c r="E119" s="142"/>
    </row>
    <row r="120" spans="1:5" ht="12.75" customHeight="1" x14ac:dyDescent="0.15">
      <c r="A120" s="142">
        <v>119</v>
      </c>
      <c r="B120" s="143">
        <v>12534.218129999999</v>
      </c>
      <c r="C120" s="142"/>
      <c r="D120" s="142"/>
      <c r="E120" s="142"/>
    </row>
    <row r="121" spans="1:5" ht="12.75" customHeight="1" x14ac:dyDescent="0.15">
      <c r="A121" s="142">
        <v>120</v>
      </c>
      <c r="B121" s="143">
        <v>12685.070000000002</v>
      </c>
      <c r="C121" s="142"/>
      <c r="D121" s="142"/>
      <c r="E121" s="142"/>
    </row>
    <row r="122" spans="1:5" ht="12.75" customHeight="1" x14ac:dyDescent="0.15">
      <c r="A122" s="142">
        <v>121</v>
      </c>
      <c r="B122" s="143">
        <v>12837.206330000003</v>
      </c>
      <c r="C122" s="142"/>
      <c r="D122" s="142"/>
      <c r="E122" s="142"/>
    </row>
    <row r="123" spans="1:5" ht="12.75" customHeight="1" x14ac:dyDescent="0.15">
      <c r="A123" s="142">
        <v>122</v>
      </c>
      <c r="B123" s="143">
        <v>12990.664080000002</v>
      </c>
      <c r="C123" s="142"/>
      <c r="D123" s="142"/>
      <c r="E123" s="142"/>
    </row>
    <row r="124" spans="1:5" ht="12.75" customHeight="1" x14ac:dyDescent="0.15">
      <c r="A124" s="142">
        <v>123</v>
      </c>
      <c r="B124" s="143">
        <v>13145.48093</v>
      </c>
      <c r="C124" s="142"/>
      <c r="D124" s="142"/>
      <c r="E124" s="142"/>
    </row>
    <row r="125" spans="1:5" ht="12.75" customHeight="1" x14ac:dyDescent="0.15">
      <c r="A125" s="142">
        <v>124</v>
      </c>
      <c r="B125" s="143">
        <v>13301.695280000002</v>
      </c>
      <c r="C125" s="142"/>
      <c r="D125" s="142"/>
      <c r="E125" s="142"/>
    </row>
    <row r="126" spans="1:5" ht="12.75" customHeight="1" x14ac:dyDescent="0.15">
      <c r="A126" s="142">
        <v>125</v>
      </c>
      <c r="B126" s="143">
        <v>13459.346250000001</v>
      </c>
      <c r="C126" s="142"/>
      <c r="D126" s="142"/>
      <c r="E126" s="142"/>
    </row>
    <row r="127" spans="1:5" ht="12.75" customHeight="1" x14ac:dyDescent="0.15">
      <c r="A127" s="142">
        <v>126</v>
      </c>
      <c r="B127" s="143">
        <v>13618.473680000003</v>
      </c>
      <c r="C127" s="142"/>
      <c r="D127" s="142"/>
      <c r="E127" s="142"/>
    </row>
    <row r="128" spans="1:5" ht="12.75" customHeight="1" x14ac:dyDescent="0.15">
      <c r="A128" s="142">
        <v>127</v>
      </c>
      <c r="B128" s="143">
        <v>13779.118130000001</v>
      </c>
      <c r="C128" s="142"/>
      <c r="D128" s="142"/>
      <c r="E128" s="142"/>
    </row>
    <row r="129" spans="1:5" ht="12.75" customHeight="1" x14ac:dyDescent="0.15">
      <c r="A129" s="142">
        <v>128</v>
      </c>
      <c r="B129" s="143">
        <v>13941.320880000001</v>
      </c>
      <c r="C129" s="142"/>
      <c r="D129" s="142"/>
      <c r="E129" s="142"/>
    </row>
    <row r="130" spans="1:5" ht="12.75" customHeight="1" x14ac:dyDescent="0.15">
      <c r="A130" s="142">
        <v>129</v>
      </c>
      <c r="B130" s="143">
        <v>14105.12393</v>
      </c>
      <c r="C130" s="142"/>
      <c r="D130" s="142"/>
      <c r="E130" s="142"/>
    </row>
    <row r="131" spans="1:5" ht="12.75" customHeight="1" x14ac:dyDescent="0.15">
      <c r="A131" s="142">
        <v>130</v>
      </c>
      <c r="B131" s="143">
        <v>14270.570000000005</v>
      </c>
      <c r="C131" s="142"/>
      <c r="D131" s="142"/>
      <c r="E131" s="142"/>
    </row>
    <row r="132" spans="1:5" ht="12.75" customHeight="1" x14ac:dyDescent="0.15">
      <c r="A132" s="142">
        <v>131</v>
      </c>
      <c r="B132" s="143">
        <v>14437.702530000004</v>
      </c>
      <c r="C132" s="142"/>
      <c r="D132" s="142"/>
      <c r="E132" s="142"/>
    </row>
    <row r="133" spans="1:5" ht="12.75" customHeight="1" x14ac:dyDescent="0.15">
      <c r="A133" s="142">
        <v>132</v>
      </c>
      <c r="B133" s="143">
        <v>14606.565679999998</v>
      </c>
      <c r="C133" s="142"/>
      <c r="D133" s="142"/>
      <c r="E133" s="142"/>
    </row>
    <row r="134" spans="1:5" ht="12.75" customHeight="1" x14ac:dyDescent="0.15">
      <c r="A134" s="142">
        <v>133</v>
      </c>
      <c r="B134" s="143">
        <v>14777.204330000002</v>
      </c>
      <c r="C134" s="142"/>
      <c r="D134" s="142"/>
      <c r="E134" s="142"/>
    </row>
    <row r="135" spans="1:5" ht="12.75" customHeight="1" x14ac:dyDescent="0.15">
      <c r="A135" s="142">
        <v>134</v>
      </c>
      <c r="B135" s="143">
        <v>14949.664080000002</v>
      </c>
      <c r="C135" s="142"/>
      <c r="D135" s="142"/>
      <c r="E135" s="142"/>
    </row>
    <row r="136" spans="1:5" ht="12.75" customHeight="1" x14ac:dyDescent="0.15">
      <c r="A136" s="142">
        <v>135</v>
      </c>
      <c r="B136" s="143">
        <v>15123.991250000003</v>
      </c>
      <c r="C136" s="142"/>
      <c r="D136" s="142"/>
      <c r="E136" s="142"/>
    </row>
    <row r="137" spans="1:5" ht="12.75" customHeight="1" x14ac:dyDescent="0.15">
      <c r="A137" s="142">
        <v>136</v>
      </c>
      <c r="B137" s="143">
        <v>15300.232880000001</v>
      </c>
      <c r="C137" s="142"/>
      <c r="D137" s="142"/>
      <c r="E137" s="142"/>
    </row>
    <row r="138" spans="1:5" ht="12.75" customHeight="1" x14ac:dyDescent="0.15">
      <c r="A138" s="142">
        <v>137</v>
      </c>
      <c r="B138" s="143">
        <v>15478.436730000003</v>
      </c>
      <c r="C138" s="142"/>
      <c r="D138" s="142"/>
      <c r="E138" s="142"/>
    </row>
    <row r="139" spans="1:5" ht="12.75" customHeight="1" x14ac:dyDescent="0.15">
      <c r="A139" s="142">
        <v>138</v>
      </c>
      <c r="B139" s="143">
        <v>15658.651280000004</v>
      </c>
      <c r="C139" s="142"/>
      <c r="D139" s="142"/>
      <c r="E139" s="142"/>
    </row>
    <row r="140" spans="1:5" ht="12.75" customHeight="1" x14ac:dyDescent="0.15">
      <c r="A140" s="142">
        <v>139</v>
      </c>
      <c r="B140" s="143">
        <v>15840.925730000001</v>
      </c>
      <c r="C140" s="142"/>
      <c r="D140" s="142"/>
      <c r="E140" s="142"/>
    </row>
    <row r="141" spans="1:5" ht="12.75" customHeight="1" x14ac:dyDescent="0.15">
      <c r="A141" s="142">
        <v>140</v>
      </c>
      <c r="B141" s="143">
        <v>16025.310000000003</v>
      </c>
      <c r="C141" s="142"/>
      <c r="D141" s="142"/>
      <c r="E141" s="142"/>
    </row>
    <row r="142" spans="1:5" ht="12.75" customHeight="1" x14ac:dyDescent="0.15">
      <c r="A142" s="142">
        <v>141</v>
      </c>
      <c r="B142" s="143">
        <v>16211.854730000001</v>
      </c>
      <c r="C142" s="142"/>
      <c r="D142" s="142"/>
      <c r="E142" s="142"/>
    </row>
    <row r="143" spans="1:5" ht="12.75" customHeight="1" x14ac:dyDescent="0.15">
      <c r="A143" s="142">
        <v>142</v>
      </c>
      <c r="B143" s="143">
        <v>16400.611280000001</v>
      </c>
      <c r="C143" s="142"/>
      <c r="D143" s="142"/>
      <c r="E143" s="142"/>
    </row>
    <row r="144" spans="1:5" ht="12.75" customHeight="1" x14ac:dyDescent="0.15">
      <c r="A144" s="142">
        <v>143</v>
      </c>
      <c r="B144" s="143">
        <v>16591.631730000001</v>
      </c>
      <c r="C144" s="142"/>
      <c r="D144" s="142"/>
      <c r="E144" s="142"/>
    </row>
    <row r="145" spans="1:5" ht="12.75" customHeight="1" x14ac:dyDescent="0.15">
      <c r="A145" s="142">
        <v>144</v>
      </c>
      <c r="B145" s="143">
        <v>16784.96888</v>
      </c>
      <c r="C145" s="142"/>
      <c r="D145" s="142"/>
      <c r="E145" s="142"/>
    </row>
    <row r="146" spans="1:5" ht="12.75" customHeight="1" x14ac:dyDescent="0.15">
      <c r="A146" s="142">
        <v>145</v>
      </c>
      <c r="B146" s="143">
        <v>16980.676249999997</v>
      </c>
      <c r="C146" s="142"/>
      <c r="D146" s="142"/>
      <c r="E146" s="142"/>
    </row>
    <row r="147" spans="1:5" ht="12.75" customHeight="1" x14ac:dyDescent="0.15">
      <c r="A147" s="142">
        <v>146</v>
      </c>
      <c r="B147" s="143">
        <v>17178.808079999999</v>
      </c>
      <c r="C147" s="142"/>
      <c r="D147" s="142"/>
      <c r="E147" s="142"/>
    </row>
    <row r="148" spans="1:5" ht="12.75" customHeight="1" x14ac:dyDescent="0.15">
      <c r="A148" s="142">
        <v>147</v>
      </c>
      <c r="B148" s="143">
        <v>17379.419330000001</v>
      </c>
      <c r="C148" s="142"/>
      <c r="D148" s="142"/>
      <c r="E148" s="142"/>
    </row>
    <row r="149" spans="1:5" ht="12.75" customHeight="1" x14ac:dyDescent="0.15">
      <c r="A149" s="142">
        <v>148</v>
      </c>
      <c r="B149" s="143">
        <v>17582.565680000003</v>
      </c>
      <c r="C149" s="142"/>
      <c r="D149" s="142"/>
      <c r="E149" s="142"/>
    </row>
    <row r="150" spans="1:5" ht="12.75" customHeight="1" x14ac:dyDescent="0.15">
      <c r="A150" s="142">
        <v>149</v>
      </c>
      <c r="B150" s="143">
        <v>17788.303530000001</v>
      </c>
      <c r="C150" s="142"/>
      <c r="D150" s="142"/>
      <c r="E150" s="142"/>
    </row>
    <row r="151" spans="1:5" ht="12.75" customHeight="1" x14ac:dyDescent="0.15">
      <c r="A151" s="142">
        <v>150</v>
      </c>
      <c r="B151" s="143">
        <v>17996.689999999999</v>
      </c>
      <c r="C151" s="142"/>
      <c r="D151" s="142"/>
      <c r="E151" s="142"/>
    </row>
    <row r="152" spans="1:5" ht="12.75" customHeight="1" x14ac:dyDescent="0.15">
      <c r="A152" s="142">
        <v>151</v>
      </c>
      <c r="B152" s="143">
        <v>18207.782929999998</v>
      </c>
      <c r="C152" s="142"/>
      <c r="D152" s="142"/>
      <c r="E152" s="142"/>
    </row>
    <row r="153" spans="1:5" ht="12.75" customHeight="1" x14ac:dyDescent="0.15">
      <c r="A153" s="142">
        <v>152</v>
      </c>
      <c r="B153" s="143">
        <v>18421.640879999999</v>
      </c>
      <c r="C153" s="142"/>
      <c r="D153" s="142"/>
      <c r="E153" s="142"/>
    </row>
    <row r="154" spans="1:5" ht="12.75" customHeight="1" x14ac:dyDescent="0.15">
      <c r="A154" s="142">
        <v>153</v>
      </c>
      <c r="B154" s="143">
        <v>18638.323130000001</v>
      </c>
      <c r="C154" s="142"/>
      <c r="D154" s="142"/>
      <c r="E154" s="142"/>
    </row>
    <row r="155" spans="1:5" ht="12.75" customHeight="1" x14ac:dyDescent="0.15">
      <c r="A155" s="142">
        <v>154</v>
      </c>
      <c r="B155" s="143">
        <v>18857.889679999997</v>
      </c>
      <c r="C155" s="142"/>
      <c r="D155" s="142"/>
      <c r="E155" s="142"/>
    </row>
    <row r="156" spans="1:5" ht="12.75" customHeight="1" x14ac:dyDescent="0.15">
      <c r="A156" s="142">
        <v>155</v>
      </c>
      <c r="B156" s="143">
        <v>19080.401249999999</v>
      </c>
      <c r="C156" s="142"/>
      <c r="D156" s="142"/>
      <c r="E156" s="142"/>
    </row>
    <row r="157" spans="1:5" ht="12.75" customHeight="1" x14ac:dyDescent="0.15">
      <c r="A157" s="142">
        <v>156</v>
      </c>
      <c r="B157" s="143">
        <v>19305.919279999998</v>
      </c>
      <c r="C157" s="142"/>
      <c r="D157" s="142"/>
      <c r="E157" s="142"/>
    </row>
    <row r="158" spans="1:5" ht="12.75" customHeight="1" x14ac:dyDescent="0.15">
      <c r="A158" s="142">
        <v>157</v>
      </c>
      <c r="B158" s="143">
        <v>19534.505930000003</v>
      </c>
      <c r="C158" s="142"/>
      <c r="D158" s="142"/>
      <c r="E158" s="142"/>
    </row>
    <row r="159" spans="1:5" ht="12.75" customHeight="1" x14ac:dyDescent="0.15">
      <c r="A159" s="142">
        <v>158</v>
      </c>
      <c r="B159" s="143">
        <v>19766.22408</v>
      </c>
      <c r="C159" s="142"/>
      <c r="D159" s="142"/>
      <c r="E159" s="142"/>
    </row>
    <row r="160" spans="1:5" ht="12.75" customHeight="1" x14ac:dyDescent="0.15">
      <c r="A160" s="142">
        <v>159</v>
      </c>
      <c r="B160" s="143">
        <v>20001.137329999994</v>
      </c>
      <c r="C160" s="142"/>
      <c r="D160" s="142"/>
      <c r="E160" s="142"/>
    </row>
    <row r="161" spans="1:5" ht="12.75" customHeight="1" x14ac:dyDescent="0.15">
      <c r="A161" s="142">
        <v>160</v>
      </c>
      <c r="B161" s="143">
        <v>20239.309999999998</v>
      </c>
      <c r="C161" s="142"/>
      <c r="D161" s="142"/>
      <c r="E161" s="142"/>
    </row>
    <row r="162" spans="1:5" ht="12.75" customHeight="1" x14ac:dyDescent="0.15">
      <c r="A162" s="142">
        <v>161</v>
      </c>
      <c r="B162" s="143">
        <v>20480.807129999997</v>
      </c>
      <c r="C162" s="142"/>
      <c r="D162" s="142"/>
      <c r="E162" s="142"/>
    </row>
    <row r="163" spans="1:5" ht="12.75" customHeight="1" x14ac:dyDescent="0.15">
      <c r="A163" s="142">
        <v>162</v>
      </c>
      <c r="B163" s="143">
        <v>20725.694480000002</v>
      </c>
      <c r="C163" s="142"/>
      <c r="D163" s="142"/>
      <c r="E163" s="142"/>
    </row>
    <row r="164" spans="1:5" ht="12.75" customHeight="1" x14ac:dyDescent="0.15">
      <c r="A164" s="142">
        <v>163</v>
      </c>
      <c r="B164" s="143">
        <v>20974.038529999994</v>
      </c>
      <c r="C164" s="142"/>
      <c r="D164" s="142"/>
      <c r="E164" s="142"/>
    </row>
    <row r="165" spans="1:5" ht="12.75" customHeight="1" x14ac:dyDescent="0.15">
      <c r="A165" s="142">
        <v>164</v>
      </c>
      <c r="B165" s="143">
        <v>21225.906480000001</v>
      </c>
      <c r="C165" s="142"/>
      <c r="D165" s="142"/>
      <c r="E165" s="142"/>
    </row>
    <row r="166" spans="1:5" ht="12.75" customHeight="1" x14ac:dyDescent="0.15">
      <c r="A166" s="142">
        <v>165</v>
      </c>
      <c r="B166" s="143">
        <v>21481.366250000003</v>
      </c>
      <c r="C166" s="142"/>
      <c r="D166" s="142"/>
      <c r="E166" s="142"/>
    </row>
    <row r="167" spans="1:5" ht="12.75" customHeight="1" x14ac:dyDescent="0.15">
      <c r="A167" s="142">
        <v>166</v>
      </c>
      <c r="B167" s="143">
        <v>21740.486480000003</v>
      </c>
      <c r="C167" s="142"/>
      <c r="D167" s="142"/>
      <c r="E167" s="142"/>
    </row>
    <row r="168" spans="1:5" ht="12.75" customHeight="1" x14ac:dyDescent="0.15">
      <c r="A168" s="142">
        <v>167</v>
      </c>
      <c r="B168" s="143">
        <v>22003.33653</v>
      </c>
      <c r="C168" s="142"/>
      <c r="D168" s="142"/>
      <c r="E168" s="142"/>
    </row>
    <row r="169" spans="1:5" ht="12.75" customHeight="1" x14ac:dyDescent="0.15">
      <c r="A169" s="142">
        <v>168</v>
      </c>
      <c r="B169" s="143">
        <v>22269.986480000003</v>
      </c>
      <c r="C169" s="142"/>
      <c r="D169" s="142"/>
      <c r="E169" s="142"/>
    </row>
    <row r="170" spans="1:5" ht="12.75" customHeight="1" x14ac:dyDescent="0.15">
      <c r="A170" s="142">
        <v>169</v>
      </c>
      <c r="B170" s="143">
        <v>22540.507130000002</v>
      </c>
      <c r="C170" s="142"/>
      <c r="D170" s="142"/>
      <c r="E170" s="142"/>
    </row>
    <row r="171" spans="1:5" ht="12.75" customHeight="1" x14ac:dyDescent="0.15">
      <c r="A171" s="142">
        <v>170</v>
      </c>
      <c r="B171" s="143">
        <v>22814.969999999998</v>
      </c>
      <c r="C171" s="142"/>
      <c r="D171" s="142"/>
      <c r="E171" s="142"/>
    </row>
    <row r="172" spans="1:5" ht="12.75" customHeight="1" x14ac:dyDescent="0.15">
      <c r="A172" s="142">
        <v>171</v>
      </c>
      <c r="B172" s="143">
        <v>23093.447329999999</v>
      </c>
      <c r="C172" s="142"/>
      <c r="D172" s="142"/>
      <c r="E172" s="142"/>
    </row>
    <row r="173" spans="1:5" ht="12.75" customHeight="1" x14ac:dyDescent="0.15">
      <c r="A173" s="142">
        <v>172</v>
      </c>
      <c r="B173" s="143">
        <v>23376.012080000004</v>
      </c>
      <c r="C173" s="142"/>
      <c r="D173" s="142"/>
      <c r="E173" s="142"/>
    </row>
    <row r="174" spans="1:5" ht="12.75" customHeight="1" x14ac:dyDescent="0.15">
      <c r="A174" s="142">
        <v>173</v>
      </c>
      <c r="B174" s="143">
        <v>23662.737930000007</v>
      </c>
      <c r="C174" s="142"/>
      <c r="D174" s="142"/>
      <c r="E174" s="142"/>
    </row>
    <row r="175" spans="1:5" ht="12.75" customHeight="1" x14ac:dyDescent="0.15">
      <c r="A175" s="142">
        <v>174</v>
      </c>
      <c r="B175" s="143">
        <v>23953.699280000004</v>
      </c>
      <c r="C175" s="142"/>
      <c r="D175" s="142"/>
      <c r="E175" s="142"/>
    </row>
    <row r="176" spans="1:5" ht="12.75" customHeight="1" x14ac:dyDescent="0.15">
      <c r="A176" s="142">
        <v>175</v>
      </c>
      <c r="B176" s="143">
        <v>24248.971249999999</v>
      </c>
      <c r="C176" s="142"/>
      <c r="D176" s="142"/>
      <c r="E176" s="142"/>
    </row>
    <row r="177" spans="1:5" ht="12.75" customHeight="1" x14ac:dyDescent="0.15">
      <c r="A177" s="142">
        <v>176</v>
      </c>
      <c r="B177" s="143">
        <v>24548.629680000002</v>
      </c>
      <c r="C177" s="142"/>
      <c r="D177" s="142"/>
      <c r="E177" s="142"/>
    </row>
    <row r="178" spans="1:5" ht="12.75" customHeight="1" x14ac:dyDescent="0.15">
      <c r="A178" s="142">
        <v>177</v>
      </c>
      <c r="B178" s="143">
        <v>24852.751129999997</v>
      </c>
      <c r="C178" s="142"/>
      <c r="D178" s="142"/>
      <c r="E178" s="142"/>
    </row>
    <row r="179" spans="1:5" ht="12.75" customHeight="1" x14ac:dyDescent="0.15">
      <c r="A179" s="142">
        <v>178</v>
      </c>
      <c r="B179" s="143">
        <v>25161.412880000007</v>
      </c>
      <c r="C179" s="142"/>
      <c r="D179" s="142"/>
      <c r="E179" s="142"/>
    </row>
    <row r="180" spans="1:5" ht="12.75" customHeight="1" x14ac:dyDescent="0.15">
      <c r="A180" s="142">
        <v>179</v>
      </c>
      <c r="B180" s="143">
        <v>25474.692930000001</v>
      </c>
      <c r="C180" s="142"/>
      <c r="D180" s="142"/>
      <c r="E180" s="142"/>
    </row>
    <row r="181" spans="1:5" ht="12.75" customHeight="1" x14ac:dyDescent="0.15">
      <c r="A181" s="142">
        <v>180</v>
      </c>
      <c r="B181" s="143">
        <v>25792.670000000002</v>
      </c>
      <c r="C181" s="142"/>
      <c r="D181" s="142"/>
      <c r="E181" s="142"/>
    </row>
    <row r="182" spans="1:5" ht="12.75" customHeight="1" x14ac:dyDescent="0.15">
      <c r="A182" s="142">
        <v>181</v>
      </c>
      <c r="B182" s="143">
        <v>26115.423530000004</v>
      </c>
      <c r="C182" s="142"/>
      <c r="D182" s="142"/>
      <c r="E182" s="142"/>
    </row>
    <row r="183" spans="1:5" ht="12.75" customHeight="1" x14ac:dyDescent="0.15">
      <c r="A183" s="142">
        <v>182</v>
      </c>
      <c r="B183" s="143">
        <v>26443.033679999997</v>
      </c>
      <c r="C183" s="142"/>
      <c r="D183" s="142"/>
      <c r="E183" s="142"/>
    </row>
    <row r="184" spans="1:5" ht="12.75" customHeight="1" x14ac:dyDescent="0.15">
      <c r="A184" s="142">
        <v>183</v>
      </c>
      <c r="B184" s="143">
        <v>26775.581330000001</v>
      </c>
      <c r="C184" s="142"/>
      <c r="D184" s="142"/>
      <c r="E184" s="142"/>
    </row>
    <row r="185" spans="1:5" ht="12.75" customHeight="1" x14ac:dyDescent="0.15">
      <c r="A185" s="142">
        <v>184</v>
      </c>
      <c r="B185" s="143">
        <v>27113.148079999995</v>
      </c>
      <c r="C185" s="142"/>
      <c r="D185" s="142"/>
      <c r="E185" s="142"/>
    </row>
    <row r="186" spans="1:5" ht="12.75" customHeight="1" x14ac:dyDescent="0.15">
      <c r="A186" s="142">
        <v>185</v>
      </c>
      <c r="B186" s="143">
        <v>27455.816249999996</v>
      </c>
      <c r="C186" s="142"/>
      <c r="D186" s="142"/>
      <c r="E186" s="142"/>
    </row>
    <row r="187" spans="1:5" ht="12.75" customHeight="1" x14ac:dyDescent="0.15">
      <c r="A187" s="142">
        <v>186</v>
      </c>
      <c r="B187" s="143">
        <v>27803.668880000001</v>
      </c>
      <c r="C187" s="142"/>
      <c r="D187" s="142"/>
      <c r="E187" s="142"/>
    </row>
    <row r="188" spans="1:5" ht="12.75" customHeight="1" x14ac:dyDescent="0.15">
      <c r="A188" s="142">
        <v>187</v>
      </c>
      <c r="B188" s="143">
        <v>28156.789730000008</v>
      </c>
      <c r="C188" s="142"/>
      <c r="D188" s="142"/>
      <c r="E188" s="142"/>
    </row>
    <row r="189" spans="1:5" ht="12.75" customHeight="1" x14ac:dyDescent="0.15">
      <c r="A189" s="142">
        <v>188</v>
      </c>
      <c r="B189" s="143">
        <v>28515.263280000003</v>
      </c>
      <c r="C189" s="142"/>
      <c r="D189" s="142"/>
      <c r="E189" s="142"/>
    </row>
    <row r="190" spans="1:5" ht="12.75" customHeight="1" x14ac:dyDescent="0.15">
      <c r="A190" s="142">
        <v>189</v>
      </c>
      <c r="B190" s="143">
        <v>28879.174729999995</v>
      </c>
      <c r="C190" s="142"/>
      <c r="D190" s="142"/>
      <c r="E190" s="142"/>
    </row>
    <row r="191" spans="1:5" ht="12.75" customHeight="1" x14ac:dyDescent="0.15">
      <c r="A191" s="142">
        <v>190</v>
      </c>
      <c r="B191" s="143">
        <v>29248.610000000004</v>
      </c>
      <c r="C191" s="142"/>
      <c r="D191" s="142"/>
      <c r="E191" s="142"/>
    </row>
    <row r="192" spans="1:5" ht="12.75" customHeight="1" x14ac:dyDescent="0.15">
      <c r="A192" s="142">
        <v>191</v>
      </c>
      <c r="B192" s="143">
        <v>29623.655730000002</v>
      </c>
      <c r="C192" s="142"/>
      <c r="D192" s="142"/>
      <c r="E192" s="142"/>
    </row>
    <row r="193" spans="1:5" ht="12.75" customHeight="1" x14ac:dyDescent="0.15">
      <c r="A193" s="142">
        <v>192</v>
      </c>
      <c r="B193" s="143">
        <v>30004.399279999998</v>
      </c>
      <c r="C193" s="142"/>
      <c r="D193" s="142"/>
      <c r="E193" s="142"/>
    </row>
    <row r="194" spans="1:5" ht="12.75" customHeight="1" x14ac:dyDescent="0.15">
      <c r="A194" s="142">
        <v>193</v>
      </c>
      <c r="B194" s="143">
        <v>30390.928730000003</v>
      </c>
      <c r="C194" s="142"/>
      <c r="D194" s="142"/>
      <c r="E194" s="142"/>
    </row>
    <row r="195" spans="1:5" ht="12.75" customHeight="1" x14ac:dyDescent="0.15">
      <c r="A195" s="142">
        <v>194</v>
      </c>
      <c r="B195" s="143">
        <v>30783.332880000002</v>
      </c>
      <c r="C195" s="142"/>
      <c r="D195" s="142"/>
      <c r="E195" s="142"/>
    </row>
    <row r="196" spans="1:5" ht="12.75" customHeight="1" x14ac:dyDescent="0.15">
      <c r="A196" s="142">
        <v>195</v>
      </c>
      <c r="B196" s="143">
        <v>31181.701250000002</v>
      </c>
      <c r="C196" s="142"/>
      <c r="D196" s="142"/>
      <c r="E196" s="142"/>
    </row>
    <row r="197" spans="1:5" ht="12.75" customHeight="1" x14ac:dyDescent="0.15">
      <c r="A197" s="142">
        <v>196</v>
      </c>
      <c r="B197" s="143">
        <v>31586.124079999998</v>
      </c>
      <c r="C197" s="142"/>
      <c r="D197" s="142"/>
      <c r="E197" s="142"/>
    </row>
    <row r="198" spans="1:5" ht="12.75" customHeight="1" x14ac:dyDescent="0.15">
      <c r="A198" s="142">
        <v>197</v>
      </c>
      <c r="B198" s="143">
        <v>31996.692330000002</v>
      </c>
      <c r="C198" s="142"/>
      <c r="D198" s="142"/>
      <c r="E198" s="142"/>
    </row>
    <row r="199" spans="1:5" ht="12.75" customHeight="1" x14ac:dyDescent="0.15">
      <c r="A199" s="142">
        <v>198</v>
      </c>
      <c r="B199" s="143">
        <v>32413.497679999997</v>
      </c>
      <c r="C199" s="142"/>
      <c r="D199" s="142"/>
      <c r="E199" s="142"/>
    </row>
    <row r="200" spans="1:5" ht="12.75" customHeight="1" x14ac:dyDescent="0.15">
      <c r="A200" s="142">
        <v>199</v>
      </c>
      <c r="B200" s="143">
        <v>32836.63253000001</v>
      </c>
      <c r="C200" s="142"/>
      <c r="D200" s="142"/>
      <c r="E200" s="142"/>
    </row>
    <row r="201" spans="1:5" ht="12.75" customHeight="1" x14ac:dyDescent="0.15">
      <c r="A201" s="142">
        <v>200</v>
      </c>
      <c r="B201" s="143">
        <v>33266.19</v>
      </c>
      <c r="C201" s="142"/>
      <c r="D201" s="142"/>
      <c r="E201" s="142"/>
    </row>
    <row r="202" spans="1:5" ht="12.75" customHeight="1" x14ac:dyDescent="0.15">
      <c r="A202" s="142">
        <v>201</v>
      </c>
      <c r="B202" s="143">
        <v>33702.263930000016</v>
      </c>
      <c r="C202" s="142"/>
      <c r="D202" s="142"/>
      <c r="E202" s="142"/>
    </row>
    <row r="203" spans="1:5" ht="12.75" customHeight="1" x14ac:dyDescent="0.15">
      <c r="A203" s="142">
        <v>202</v>
      </c>
      <c r="B203" s="143">
        <v>34144.948880000011</v>
      </c>
      <c r="C203" s="142"/>
      <c r="D203" s="142"/>
      <c r="E203" s="142"/>
    </row>
    <row r="204" spans="1:5" ht="12.75" customHeight="1" x14ac:dyDescent="0.15">
      <c r="A204" s="142">
        <v>203</v>
      </c>
      <c r="B204" s="143">
        <v>34594.340130000011</v>
      </c>
      <c r="C204" s="142"/>
      <c r="D204" s="142"/>
      <c r="E204" s="142"/>
    </row>
    <row r="205" spans="1:5" ht="12.75" customHeight="1" x14ac:dyDescent="0.15">
      <c r="A205" s="142">
        <v>204</v>
      </c>
      <c r="B205" s="143">
        <v>35050.53368</v>
      </c>
      <c r="C205" s="142"/>
      <c r="D205" s="142"/>
      <c r="E205" s="142"/>
    </row>
    <row r="206" spans="1:5" ht="12.75" customHeight="1" x14ac:dyDescent="0.15">
      <c r="A206" s="142">
        <v>205</v>
      </c>
      <c r="B206" s="143">
        <v>35513.626250000001</v>
      </c>
      <c r="C206" s="142"/>
      <c r="D206" s="142"/>
      <c r="E206" s="142"/>
    </row>
    <row r="207" spans="1:5" ht="12.75" customHeight="1" x14ac:dyDescent="0.15">
      <c r="A207" s="142">
        <v>206</v>
      </c>
      <c r="B207" s="143">
        <v>35983.715280000011</v>
      </c>
      <c r="C207" s="142"/>
      <c r="D207" s="142"/>
      <c r="E207" s="142"/>
    </row>
    <row r="208" spans="1:5" ht="12.75" customHeight="1" x14ac:dyDescent="0.15">
      <c r="A208" s="142">
        <v>207</v>
      </c>
      <c r="B208" s="143">
        <v>36460.89893000001</v>
      </c>
      <c r="C208" s="142"/>
      <c r="D208" s="142"/>
      <c r="E208" s="142"/>
    </row>
    <row r="209" spans="1:5" ht="12.75" customHeight="1" x14ac:dyDescent="0.15">
      <c r="A209" s="142">
        <v>208</v>
      </c>
      <c r="B209" s="143">
        <v>36945.276080000011</v>
      </c>
      <c r="C209" s="142"/>
      <c r="D209" s="142"/>
      <c r="E209" s="142"/>
    </row>
    <row r="210" spans="1:5" ht="12.75" customHeight="1" x14ac:dyDescent="0.15">
      <c r="A210" s="142">
        <v>209</v>
      </c>
      <c r="B210" s="143">
        <v>37436.946330000013</v>
      </c>
      <c r="C210" s="142"/>
      <c r="D210" s="142"/>
      <c r="E210" s="142"/>
    </row>
    <row r="211" spans="1:5" ht="12.75" customHeight="1" x14ac:dyDescent="0.15">
      <c r="A211" s="142">
        <v>210</v>
      </c>
      <c r="B211" s="143">
        <v>37936.010000000009</v>
      </c>
      <c r="C211" s="142"/>
      <c r="D211" s="142"/>
      <c r="E211" s="142"/>
    </row>
    <row r="212" spans="1:5" ht="12.75" customHeight="1" x14ac:dyDescent="0.15">
      <c r="A212" s="142">
        <v>211</v>
      </c>
      <c r="B212" s="143">
        <v>38442.56813</v>
      </c>
      <c r="C212" s="142"/>
      <c r="D212" s="142"/>
      <c r="E212" s="142"/>
    </row>
    <row r="213" spans="1:5" ht="12.75" customHeight="1" x14ac:dyDescent="0.15">
      <c r="A213" s="142">
        <v>212</v>
      </c>
      <c r="B213" s="143">
        <v>38956.722479999997</v>
      </c>
      <c r="C213" s="142"/>
      <c r="D213" s="142"/>
      <c r="E213" s="142"/>
    </row>
    <row r="214" spans="1:5" ht="12.75" customHeight="1" x14ac:dyDescent="0.15">
      <c r="A214" s="142">
        <v>213</v>
      </c>
      <c r="B214" s="143">
        <v>39478.575530000009</v>
      </c>
      <c r="C214" s="142"/>
      <c r="D214" s="142"/>
      <c r="E214" s="142"/>
    </row>
    <row r="215" spans="1:5" ht="12.75" customHeight="1" x14ac:dyDescent="0.15">
      <c r="A215" s="142">
        <v>214</v>
      </c>
      <c r="B215" s="143">
        <v>40008.230479999998</v>
      </c>
      <c r="C215" s="142"/>
      <c r="D215" s="142"/>
      <c r="E215" s="142"/>
    </row>
    <row r="216" spans="1:5" ht="12.75" customHeight="1" x14ac:dyDescent="0.15">
      <c r="A216" s="142">
        <v>215</v>
      </c>
      <c r="B216" s="143">
        <v>40545.791250000009</v>
      </c>
      <c r="C216" s="142"/>
      <c r="D216" s="142"/>
      <c r="E216" s="142"/>
    </row>
    <row r="217" spans="1:5" ht="12.75" customHeight="1" x14ac:dyDescent="0.15">
      <c r="A217" s="142">
        <v>216</v>
      </c>
      <c r="B217" s="143">
        <v>41091.362480000003</v>
      </c>
      <c r="C217" s="142"/>
      <c r="D217" s="142"/>
      <c r="E217" s="142"/>
    </row>
    <row r="218" spans="1:5" ht="12.75" customHeight="1" x14ac:dyDescent="0.15">
      <c r="A218" s="142">
        <v>217</v>
      </c>
      <c r="B218" s="143">
        <v>41645.049530000004</v>
      </c>
      <c r="C218" s="142"/>
      <c r="D218" s="142"/>
      <c r="E218" s="142"/>
    </row>
    <row r="219" spans="1:5" ht="12.75" customHeight="1" x14ac:dyDescent="0.15">
      <c r="A219" s="142">
        <v>218</v>
      </c>
      <c r="B219" s="143">
        <v>42206.958480000008</v>
      </c>
      <c r="C219" s="142"/>
      <c r="D219" s="142"/>
      <c r="E219" s="142"/>
    </row>
    <row r="220" spans="1:5" ht="12.75" customHeight="1" x14ac:dyDescent="0.15">
      <c r="A220" s="142">
        <v>219</v>
      </c>
      <c r="B220" s="143">
        <v>42777.196129999997</v>
      </c>
      <c r="C220" s="142"/>
      <c r="D220" s="142"/>
      <c r="E220" s="142"/>
    </row>
    <row r="221" spans="1:5" ht="12.75" customHeight="1" x14ac:dyDescent="0.15">
      <c r="A221" s="142">
        <v>220</v>
      </c>
      <c r="B221" s="143">
        <v>43355.87000000001</v>
      </c>
      <c r="C221" s="142"/>
      <c r="D221" s="142"/>
      <c r="E221" s="142"/>
    </row>
    <row r="222" spans="1:5" ht="12.75" customHeight="1" x14ac:dyDescent="0.15">
      <c r="A222" s="142">
        <v>221</v>
      </c>
      <c r="B222" s="143">
        <v>43943.088329999991</v>
      </c>
      <c r="C222" s="142"/>
      <c r="D222" s="142"/>
      <c r="E222" s="142"/>
    </row>
    <row r="223" spans="1:5" ht="12.75" customHeight="1" x14ac:dyDescent="0.15">
      <c r="A223" s="142">
        <v>222</v>
      </c>
      <c r="B223" s="143">
        <v>44538.960080000012</v>
      </c>
      <c r="C223" s="142"/>
      <c r="D223" s="142"/>
      <c r="E223" s="142"/>
    </row>
    <row r="224" spans="1:5" ht="12.75" customHeight="1" x14ac:dyDescent="0.15">
      <c r="A224" s="142">
        <v>223</v>
      </c>
      <c r="B224" s="143">
        <v>45143.594929999992</v>
      </c>
      <c r="C224" s="142"/>
      <c r="D224" s="142"/>
      <c r="E224" s="142"/>
    </row>
    <row r="225" spans="1:5" ht="12.75" customHeight="1" x14ac:dyDescent="0.15">
      <c r="A225" s="142">
        <v>224</v>
      </c>
      <c r="B225" s="143">
        <v>45757.103279999996</v>
      </c>
      <c r="C225" s="142"/>
      <c r="D225" s="142"/>
      <c r="E225" s="142"/>
    </row>
    <row r="226" spans="1:5" ht="12.75" customHeight="1" x14ac:dyDescent="0.15">
      <c r="A226" s="142">
        <v>225</v>
      </c>
      <c r="B226" s="143">
        <v>46379.596250000002</v>
      </c>
      <c r="C226" s="142"/>
      <c r="D226" s="142"/>
      <c r="E226" s="142"/>
    </row>
    <row r="227" spans="1:5" ht="12.75" customHeight="1" x14ac:dyDescent="0.15">
      <c r="A227" s="142">
        <v>226</v>
      </c>
      <c r="B227" s="143">
        <v>47011.18568000001</v>
      </c>
      <c r="C227" s="142"/>
      <c r="D227" s="142"/>
      <c r="E227" s="142"/>
    </row>
    <row r="228" spans="1:5" ht="12.75" customHeight="1" x14ac:dyDescent="0.15">
      <c r="A228" s="142">
        <v>227</v>
      </c>
      <c r="B228" s="143">
        <v>47651.984130000004</v>
      </c>
      <c r="C228" s="142"/>
      <c r="D228" s="142"/>
      <c r="E228" s="142"/>
    </row>
    <row r="229" spans="1:5" ht="12.75" customHeight="1" x14ac:dyDescent="0.15">
      <c r="A229" s="142">
        <v>228</v>
      </c>
      <c r="B229" s="143">
        <v>48302.104879999999</v>
      </c>
      <c r="C229" s="142"/>
      <c r="D229" s="142"/>
      <c r="E229" s="142"/>
    </row>
    <row r="230" spans="1:5" ht="12.75" customHeight="1" x14ac:dyDescent="0.15">
      <c r="A230" s="142">
        <v>229</v>
      </c>
      <c r="B230" s="143">
        <v>48961.661930000009</v>
      </c>
      <c r="C230" s="142"/>
      <c r="D230" s="142"/>
      <c r="E230" s="142"/>
    </row>
    <row r="231" spans="1:5" ht="12.75" customHeight="1" x14ac:dyDescent="0.15">
      <c r="A231" s="142">
        <v>230</v>
      </c>
      <c r="B231" s="143">
        <v>49630.77</v>
      </c>
      <c r="C231" s="142"/>
      <c r="D231" s="142"/>
      <c r="E231" s="142"/>
    </row>
    <row r="232" spans="1:5" ht="12.75" customHeight="1" x14ac:dyDescent="0.15">
      <c r="A232" s="142">
        <v>231</v>
      </c>
      <c r="B232" s="143">
        <v>50309.544530000014</v>
      </c>
      <c r="C232" s="142"/>
      <c r="D232" s="142"/>
      <c r="E232" s="142"/>
    </row>
    <row r="233" spans="1:5" ht="12.75" customHeight="1" x14ac:dyDescent="0.15">
      <c r="A233" s="142">
        <v>232</v>
      </c>
      <c r="B233" s="143">
        <v>50998.101680000014</v>
      </c>
      <c r="C233" s="142"/>
      <c r="D233" s="142"/>
      <c r="E233" s="142"/>
    </row>
    <row r="234" spans="1:5" ht="12.75" customHeight="1" x14ac:dyDescent="0.15">
      <c r="A234" s="142">
        <v>233</v>
      </c>
      <c r="B234" s="143">
        <v>51696.55833</v>
      </c>
      <c r="C234" s="142"/>
      <c r="D234" s="142"/>
      <c r="E234" s="142"/>
    </row>
    <row r="235" spans="1:5" ht="12.75" customHeight="1" x14ac:dyDescent="0.15">
      <c r="A235" s="142">
        <v>234</v>
      </c>
      <c r="B235" s="143">
        <v>52405.032080000012</v>
      </c>
      <c r="C235" s="142"/>
      <c r="D235" s="142"/>
      <c r="E235" s="142"/>
    </row>
    <row r="236" spans="1:5" ht="12.75" customHeight="1" x14ac:dyDescent="0.15">
      <c r="A236" s="142">
        <v>235</v>
      </c>
      <c r="B236" s="143">
        <v>53123.641250000001</v>
      </c>
      <c r="C236" s="142"/>
      <c r="D236" s="142"/>
      <c r="E236" s="142"/>
    </row>
    <row r="237" spans="1:5" ht="12.75" customHeight="1" x14ac:dyDescent="0.15">
      <c r="A237" s="142">
        <v>236</v>
      </c>
      <c r="B237" s="143">
        <v>53852.50488</v>
      </c>
      <c r="C237" s="142"/>
      <c r="D237" s="142"/>
      <c r="E237" s="142"/>
    </row>
    <row r="238" spans="1:5" ht="12.75" customHeight="1" x14ac:dyDescent="0.15">
      <c r="A238" s="142">
        <v>237</v>
      </c>
      <c r="B238" s="143">
        <v>54591.742729999998</v>
      </c>
      <c r="C238" s="142"/>
      <c r="D238" s="142"/>
      <c r="E238" s="142"/>
    </row>
    <row r="239" spans="1:5" ht="12.75" customHeight="1" x14ac:dyDescent="0.15">
      <c r="A239" s="142">
        <v>238</v>
      </c>
      <c r="B239" s="143">
        <v>55341.475280000006</v>
      </c>
      <c r="C239" s="142"/>
      <c r="D239" s="142"/>
      <c r="E239" s="142"/>
    </row>
    <row r="240" spans="1:5" ht="12.75" customHeight="1" x14ac:dyDescent="0.15">
      <c r="A240" s="142">
        <v>239</v>
      </c>
      <c r="B240" s="143">
        <v>56101.823729999996</v>
      </c>
      <c r="C240" s="142"/>
      <c r="D240" s="142"/>
      <c r="E240" s="142"/>
    </row>
    <row r="241" spans="1:5" ht="12.75" customHeight="1" x14ac:dyDescent="0.15">
      <c r="A241" s="142">
        <v>240</v>
      </c>
      <c r="B241" s="143">
        <v>56872.910000000011</v>
      </c>
      <c r="C241" s="142"/>
      <c r="D241" s="142"/>
      <c r="E241" s="142"/>
    </row>
    <row r="242" spans="1:5" ht="12.75" customHeight="1" x14ac:dyDescent="0.15">
      <c r="A242" s="142">
        <v>241</v>
      </c>
      <c r="B242" s="143">
        <v>57654.856730000007</v>
      </c>
      <c r="C242" s="142"/>
      <c r="D242" s="142"/>
      <c r="E242" s="142"/>
    </row>
    <row r="243" spans="1:5" ht="12.75" customHeight="1" x14ac:dyDescent="0.15">
      <c r="A243" s="142">
        <v>242</v>
      </c>
      <c r="B243" s="143">
        <v>58447.787280000019</v>
      </c>
      <c r="C243" s="142"/>
      <c r="D243" s="142"/>
      <c r="E243" s="142"/>
    </row>
    <row r="244" spans="1:5" ht="12.75" customHeight="1" x14ac:dyDescent="0.15">
      <c r="A244" s="142">
        <v>243</v>
      </c>
      <c r="B244" s="143">
        <v>59251.825730000004</v>
      </c>
      <c r="C244" s="142"/>
      <c r="D244" s="142"/>
      <c r="E244" s="142"/>
    </row>
    <row r="245" spans="1:5" ht="12.75" customHeight="1" x14ac:dyDescent="0.15">
      <c r="A245" s="142">
        <v>244</v>
      </c>
      <c r="B245" s="143">
        <v>60067.096880000012</v>
      </c>
      <c r="C245" s="142"/>
      <c r="D245" s="142"/>
      <c r="E245" s="142"/>
    </row>
    <row r="246" spans="1:5" ht="12.75" customHeight="1" x14ac:dyDescent="0.15">
      <c r="A246" s="142">
        <v>245</v>
      </c>
      <c r="B246" s="143">
        <v>60893.726250000014</v>
      </c>
      <c r="C246" s="142"/>
      <c r="D246" s="142"/>
      <c r="E246" s="142"/>
    </row>
    <row r="247" spans="1:5" ht="12.75" customHeight="1" x14ac:dyDescent="0.15">
      <c r="A247" s="142">
        <v>246</v>
      </c>
      <c r="B247" s="143">
        <v>61731.840079999987</v>
      </c>
      <c r="C247" s="142"/>
      <c r="D247" s="142"/>
      <c r="E247" s="142"/>
    </row>
    <row r="248" spans="1:5" ht="12.75" customHeight="1" x14ac:dyDescent="0.15">
      <c r="A248" s="142">
        <v>247</v>
      </c>
      <c r="B248" s="143">
        <v>62581.565330000012</v>
      </c>
      <c r="C248" s="142"/>
      <c r="D248" s="142"/>
      <c r="E248" s="142"/>
    </row>
    <row r="249" spans="1:5" ht="12.75" customHeight="1" x14ac:dyDescent="0.15">
      <c r="A249" s="142">
        <v>248</v>
      </c>
      <c r="B249" s="143">
        <v>63443.02968</v>
      </c>
      <c r="C249" s="142"/>
      <c r="D249" s="142"/>
      <c r="E249" s="142"/>
    </row>
    <row r="250" spans="1:5" ht="12.75" customHeight="1" x14ac:dyDescent="0.15">
      <c r="A250" s="142">
        <v>249</v>
      </c>
      <c r="B250" s="143">
        <v>64316.361530000002</v>
      </c>
      <c r="C250" s="142"/>
      <c r="D250" s="142"/>
      <c r="E250" s="142"/>
    </row>
    <row r="251" spans="1:5" ht="12.75" customHeight="1" x14ac:dyDescent="0.15">
      <c r="A251" s="142">
        <v>250</v>
      </c>
      <c r="B251" s="143">
        <v>65201.69</v>
      </c>
      <c r="C251" s="143">
        <v>65201.69</v>
      </c>
      <c r="D251" s="143">
        <v>65201.69</v>
      </c>
      <c r="E251" s="143">
        <v>65201.69</v>
      </c>
    </row>
    <row r="252" spans="1:5" ht="12.75" customHeight="1" x14ac:dyDescent="0.15">
      <c r="A252" s="142">
        <v>251</v>
      </c>
      <c r="B252" s="142"/>
      <c r="C252" s="143">
        <f t="shared" ref="C252:C314" si="0">_xlfn.FORECAST.ETS(A252,$B$2:$B$251,$A$2:$A$251,1,1)</f>
        <v>66085.656347703276</v>
      </c>
      <c r="D252" s="143">
        <f t="shared" ref="D252:D314" si="1">C252-_xlfn.FORECAST.ETS.CONFINT(A252,$B$2:$B$251,$A$2:$A$251,0.95,1,1)</f>
        <v>66062.283265130449</v>
      </c>
      <c r="E252" s="143">
        <f t="shared" ref="E252:E314" si="2">C252+_xlfn.FORECAST.ETS.CONFINT(A252,$B$2:$B$251,$A$2:$A$251,0.95,1,1)</f>
        <v>66109.029430276103</v>
      </c>
    </row>
    <row r="253" spans="1:5" ht="12.75" customHeight="1" x14ac:dyDescent="0.15">
      <c r="A253" s="142">
        <v>252</v>
      </c>
      <c r="B253" s="142"/>
      <c r="C253" s="143">
        <f t="shared" si="0"/>
        <v>66970.957111011172</v>
      </c>
      <c r="D253" s="143">
        <f t="shared" si="1"/>
        <v>66922.849418737314</v>
      </c>
      <c r="E253" s="143">
        <f t="shared" si="2"/>
        <v>67019.064803285029</v>
      </c>
    </row>
    <row r="254" spans="1:5" ht="12.75" customHeight="1" x14ac:dyDescent="0.15">
      <c r="A254" s="142">
        <v>253</v>
      </c>
      <c r="B254" s="142"/>
      <c r="C254" s="143">
        <f t="shared" si="0"/>
        <v>67856.257874319082</v>
      </c>
      <c r="D254" s="143">
        <f t="shared" si="1"/>
        <v>67776.942135654346</v>
      </c>
      <c r="E254" s="143">
        <f t="shared" si="2"/>
        <v>67935.573612983819</v>
      </c>
    </row>
    <row r="255" spans="1:5" ht="12.75" customHeight="1" x14ac:dyDescent="0.15">
      <c r="A255" s="142">
        <v>254</v>
      </c>
      <c r="B255" s="142"/>
      <c r="C255" s="143">
        <f t="shared" si="0"/>
        <v>68741.558637626978</v>
      </c>
      <c r="D255" s="143">
        <f t="shared" si="1"/>
        <v>68625.976407019683</v>
      </c>
      <c r="E255" s="143">
        <f t="shared" si="2"/>
        <v>68857.140868234274</v>
      </c>
    </row>
    <row r="256" spans="1:5" ht="12.75" customHeight="1" x14ac:dyDescent="0.15">
      <c r="A256" s="142">
        <v>255</v>
      </c>
      <c r="B256" s="142"/>
      <c r="C256" s="143">
        <f t="shared" si="0"/>
        <v>69626.859400934889</v>
      </c>
      <c r="D256" s="143">
        <f t="shared" si="1"/>
        <v>69470.647400871705</v>
      </c>
      <c r="E256" s="143">
        <f t="shared" si="2"/>
        <v>69783.071400998073</v>
      </c>
    </row>
    <row r="257" spans="1:5" ht="12.75" customHeight="1" x14ac:dyDescent="0.15">
      <c r="A257" s="142">
        <v>256</v>
      </c>
      <c r="B257" s="142"/>
      <c r="C257" s="143">
        <f t="shared" si="0"/>
        <v>70512.160164242785</v>
      </c>
      <c r="D257" s="143">
        <f t="shared" si="1"/>
        <v>70311.404493822658</v>
      </c>
      <c r="E257" s="143">
        <f t="shared" si="2"/>
        <v>70712.915834662912</v>
      </c>
    </row>
    <row r="258" spans="1:5" ht="12.75" customHeight="1" x14ac:dyDescent="0.15">
      <c r="A258" s="142">
        <v>257</v>
      </c>
      <c r="B258" s="142"/>
      <c r="C258" s="143">
        <f t="shared" si="0"/>
        <v>71397.460927550681</v>
      </c>
      <c r="D258" s="143">
        <f t="shared" si="1"/>
        <v>71148.574919969731</v>
      </c>
      <c r="E258" s="143">
        <f t="shared" si="2"/>
        <v>71646.346935131631</v>
      </c>
    </row>
    <row r="259" spans="1:5" ht="12.75" customHeight="1" x14ac:dyDescent="0.15">
      <c r="A259" s="142">
        <v>258</v>
      </c>
      <c r="B259" s="142"/>
      <c r="C259" s="143">
        <f t="shared" si="0"/>
        <v>72282.761690858591</v>
      </c>
      <c r="D259" s="143">
        <f t="shared" si="1"/>
        <v>71982.412814273121</v>
      </c>
      <c r="E259" s="143">
        <f t="shared" si="2"/>
        <v>72583.110567444062</v>
      </c>
    </row>
    <row r="260" spans="1:5" ht="12.75" customHeight="1" x14ac:dyDescent="0.15">
      <c r="A260" s="142">
        <v>259</v>
      </c>
      <c r="B260" s="142"/>
      <c r="C260" s="143">
        <f t="shared" si="0"/>
        <v>73168.062454166487</v>
      </c>
      <c r="D260" s="143">
        <f t="shared" si="1"/>
        <v>72813.123741278352</v>
      </c>
      <c r="E260" s="143">
        <f t="shared" si="2"/>
        <v>73523.001167054623</v>
      </c>
    </row>
    <row r="261" spans="1:5" ht="12.75" customHeight="1" x14ac:dyDescent="0.15">
      <c r="A261" s="142">
        <v>260</v>
      </c>
      <c r="B261" s="142"/>
      <c r="C261" s="143">
        <f t="shared" si="0"/>
        <v>74053.363217474398</v>
      </c>
      <c r="D261" s="143">
        <f t="shared" si="1"/>
        <v>73640.87877715897</v>
      </c>
      <c r="E261" s="143">
        <f t="shared" si="2"/>
        <v>74465.847657789825</v>
      </c>
    </row>
    <row r="262" spans="1:5" ht="12.75" customHeight="1" x14ac:dyDescent="0.15">
      <c r="A262" s="142">
        <v>261</v>
      </c>
      <c r="B262" s="142"/>
      <c r="C262" s="143">
        <f t="shared" si="0"/>
        <v>74938.663980782294</v>
      </c>
      <c r="D262" s="143">
        <f t="shared" si="1"/>
        <v>74465.823351749379</v>
      </c>
      <c r="E262" s="143">
        <f t="shared" si="2"/>
        <v>75411.504609815209</v>
      </c>
    </row>
    <row r="263" spans="1:5" ht="12.75" customHeight="1" x14ac:dyDescent="0.15">
      <c r="A263" s="142">
        <v>262</v>
      </c>
      <c r="B263" s="142"/>
      <c r="C263" s="143">
        <f t="shared" si="0"/>
        <v>75823.96474409019</v>
      </c>
      <c r="D263" s="143">
        <f t="shared" si="1"/>
        <v>75288.083159406058</v>
      </c>
      <c r="E263" s="143">
        <f t="shared" si="2"/>
        <v>76359.846328774322</v>
      </c>
    </row>
    <row r="264" spans="1:5" ht="12.75" customHeight="1" x14ac:dyDescent="0.15">
      <c r="A264" s="142">
        <v>263</v>
      </c>
      <c r="B264" s="142"/>
      <c r="C264" s="143">
        <f t="shared" si="0"/>
        <v>76709.2655073981</v>
      </c>
      <c r="D264" s="143">
        <f t="shared" si="1"/>
        <v>76107.768298317722</v>
      </c>
      <c r="E264" s="143">
        <f t="shared" si="2"/>
        <v>77310.762716478479</v>
      </c>
    </row>
    <row r="265" spans="1:5" ht="12.75" customHeight="1" x14ac:dyDescent="0.15">
      <c r="A265" s="142">
        <v>264</v>
      </c>
      <c r="B265" s="142"/>
      <c r="C265" s="143">
        <f t="shared" si="0"/>
        <v>77594.566270705996</v>
      </c>
      <c r="D265" s="143">
        <f t="shared" si="1"/>
        <v>76924.976275515583</v>
      </c>
      <c r="E265" s="143">
        <f t="shared" si="2"/>
        <v>78264.15626589641</v>
      </c>
    </row>
    <row r="266" spans="1:5" ht="12.75" customHeight="1" x14ac:dyDescent="0.15">
      <c r="A266" s="142">
        <v>265</v>
      </c>
      <c r="B266" s="142"/>
      <c r="C266" s="143">
        <f t="shared" si="0"/>
        <v>78479.867034013907</v>
      </c>
      <c r="D266" s="143">
        <f t="shared" si="1"/>
        <v>77739.794252324427</v>
      </c>
      <c r="E266" s="143">
        <f t="shared" si="2"/>
        <v>79219.939815703387</v>
      </c>
    </row>
    <row r="267" spans="1:5" ht="12.75" customHeight="1" x14ac:dyDescent="0.15">
      <c r="A267" s="142">
        <v>266</v>
      </c>
      <c r="B267" s="142"/>
      <c r="C267" s="143">
        <f t="shared" si="0"/>
        <v>79365.167797321803</v>
      </c>
      <c r="D267" s="143">
        <f t="shared" si="1"/>
        <v>78552.300762587271</v>
      </c>
      <c r="E267" s="143">
        <f t="shared" si="2"/>
        <v>80178.034832056335</v>
      </c>
    </row>
    <row r="268" spans="1:5" ht="12.75" customHeight="1" x14ac:dyDescent="0.15">
      <c r="A268" s="142">
        <v>267</v>
      </c>
      <c r="B268" s="142"/>
      <c r="C268" s="143">
        <f t="shared" si="0"/>
        <v>80250.468560629699</v>
      </c>
      <c r="D268" s="143">
        <f t="shared" si="1"/>
        <v>79362.567053956911</v>
      </c>
      <c r="E268" s="143">
        <f t="shared" si="2"/>
        <v>81138.370067302487</v>
      </c>
    </row>
    <row r="269" spans="1:5" ht="12.75" customHeight="1" x14ac:dyDescent="0.15">
      <c r="A269" s="142">
        <v>268</v>
      </c>
      <c r="B269" s="142"/>
      <c r="C269" s="143">
        <f t="shared" si="0"/>
        <v>81135.769323937609</v>
      </c>
      <c r="D269" s="143">
        <f t="shared" si="1"/>
        <v>80170.658152937176</v>
      </c>
      <c r="E269" s="143">
        <f t="shared" si="2"/>
        <v>82100.880494938043</v>
      </c>
    </row>
    <row r="270" spans="1:5" ht="12.75" customHeight="1" x14ac:dyDescent="0.15">
      <c r="A270" s="142">
        <v>269</v>
      </c>
      <c r="B270" s="142"/>
      <c r="C270" s="143">
        <f t="shared" si="0"/>
        <v>82021.070087245505</v>
      </c>
      <c r="D270" s="143">
        <f t="shared" si="1"/>
        <v>80976.633723131672</v>
      </c>
      <c r="E270" s="143">
        <f t="shared" si="2"/>
        <v>83065.506451359339</v>
      </c>
    </row>
    <row r="271" spans="1:5" ht="12.75" customHeight="1" x14ac:dyDescent="0.15">
      <c r="A271" s="142">
        <v>270</v>
      </c>
      <c r="B271" s="142"/>
      <c r="C271" s="143">
        <f t="shared" si="0"/>
        <v>82906.370850553416</v>
      </c>
      <c r="D271" s="143">
        <f t="shared" si="1"/>
        <v>81780.548765833344</v>
      </c>
      <c r="E271" s="143">
        <f t="shared" si="2"/>
        <v>84032.192935273488</v>
      </c>
    </row>
    <row r="272" spans="1:5" ht="12.75" customHeight="1" x14ac:dyDescent="0.15">
      <c r="A272" s="142">
        <v>271</v>
      </c>
      <c r="B272" s="142"/>
      <c r="C272" s="143">
        <f t="shared" si="0"/>
        <v>83791.671613861312</v>
      </c>
      <c r="D272" s="143">
        <f t="shared" si="1"/>
        <v>82582.45419847178</v>
      </c>
      <c r="E272" s="143">
        <f t="shared" si="2"/>
        <v>85000.889029250844</v>
      </c>
    </row>
    <row r="273" spans="1:5" ht="12.75" customHeight="1" x14ac:dyDescent="0.15">
      <c r="A273" s="142">
        <v>272</v>
      </c>
      <c r="B273" s="142"/>
      <c r="C273" s="143">
        <f t="shared" si="0"/>
        <v>84676.972377169208</v>
      </c>
      <c r="D273" s="143">
        <f t="shared" si="1"/>
        <v>83382.397337085335</v>
      </c>
      <c r="E273" s="143">
        <f t="shared" si="2"/>
        <v>85971.547417253081</v>
      </c>
    </row>
    <row r="274" spans="1:5" ht="12.75" customHeight="1" x14ac:dyDescent="0.15">
      <c r="A274" s="142">
        <v>273</v>
      </c>
      <c r="B274" s="142"/>
      <c r="C274" s="143">
        <f t="shared" si="0"/>
        <v>85562.273140477118</v>
      </c>
      <c r="D274" s="143">
        <f t="shared" si="1"/>
        <v>84180.422302421473</v>
      </c>
      <c r="E274" s="143">
        <f t="shared" si="2"/>
        <v>86944.123978532763</v>
      </c>
    </row>
    <row r="275" spans="1:5" ht="12.75" customHeight="1" x14ac:dyDescent="0.15">
      <c r="A275" s="142">
        <v>274</v>
      </c>
      <c r="B275" s="142"/>
      <c r="C275" s="143">
        <f t="shared" si="0"/>
        <v>86447.573903785014</v>
      </c>
      <c r="D275" s="143">
        <f t="shared" si="1"/>
        <v>84976.570364573359</v>
      </c>
      <c r="E275" s="143">
        <f t="shared" si="2"/>
        <v>87918.57744299667</v>
      </c>
    </row>
    <row r="276" spans="1:5" ht="12.75" customHeight="1" x14ac:dyDescent="0.15">
      <c r="A276" s="142">
        <v>275</v>
      </c>
      <c r="B276" s="142"/>
      <c r="C276" s="143">
        <f t="shared" si="0"/>
        <v>87332.874667092925</v>
      </c>
      <c r="D276" s="143">
        <f t="shared" si="1"/>
        <v>85770.880237642632</v>
      </c>
      <c r="E276" s="143">
        <f t="shared" si="2"/>
        <v>88894.869096543218</v>
      </c>
    </row>
    <row r="277" spans="1:5" ht="12.75" customHeight="1" x14ac:dyDescent="0.15">
      <c r="A277" s="142">
        <v>276</v>
      </c>
      <c r="B277" s="142"/>
      <c r="C277" s="143">
        <f t="shared" si="0"/>
        <v>88218.175430400821</v>
      </c>
      <c r="D277" s="143">
        <f t="shared" si="1"/>
        <v>86563.388333391718</v>
      </c>
      <c r="E277" s="143">
        <f t="shared" si="2"/>
        <v>89872.962527409923</v>
      </c>
    </row>
    <row r="278" spans="1:5" ht="12.75" customHeight="1" x14ac:dyDescent="0.15">
      <c r="A278" s="142">
        <v>277</v>
      </c>
      <c r="B278" s="142"/>
      <c r="C278" s="143">
        <f t="shared" si="0"/>
        <v>89103.476193708717</v>
      </c>
      <c r="D278" s="143">
        <f t="shared" si="1"/>
        <v>87354.128980955749</v>
      </c>
      <c r="E278" s="143">
        <f t="shared" si="2"/>
        <v>90852.823406461684</v>
      </c>
    </row>
    <row r="279" spans="1:5" ht="12.75" customHeight="1" x14ac:dyDescent="0.15">
      <c r="A279" s="142">
        <v>278</v>
      </c>
      <c r="B279" s="142"/>
      <c r="C279" s="143">
        <f t="shared" si="0"/>
        <v>89988.776957016627</v>
      </c>
      <c r="D279" s="143">
        <f t="shared" si="1"/>
        <v>88143.134618246419</v>
      </c>
      <c r="E279" s="143">
        <f t="shared" si="2"/>
        <v>91834.419295786836</v>
      </c>
    </row>
    <row r="280" spans="1:5" ht="12.75" customHeight="1" x14ac:dyDescent="0.15">
      <c r="A280" s="142">
        <v>279</v>
      </c>
      <c r="B280" s="142"/>
      <c r="C280" s="143">
        <f t="shared" si="0"/>
        <v>90874.077720324523</v>
      </c>
      <c r="D280" s="143">
        <f t="shared" si="1"/>
        <v>88930.435959576731</v>
      </c>
      <c r="E280" s="143">
        <f t="shared" si="2"/>
        <v>92817.719481072316</v>
      </c>
    </row>
    <row r="281" spans="1:5" ht="12.75" customHeight="1" x14ac:dyDescent="0.15">
      <c r="A281" s="142">
        <v>280</v>
      </c>
      <c r="B281" s="142"/>
      <c r="C281" s="143">
        <f t="shared" si="0"/>
        <v>91759.378483632434</v>
      </c>
      <c r="D281" s="143">
        <f t="shared" si="1"/>
        <v>89716.06214317937</v>
      </c>
      <c r="E281" s="143">
        <f t="shared" si="2"/>
        <v>93802.694824085498</v>
      </c>
    </row>
    <row r="282" spans="1:5" ht="12.75" customHeight="1" x14ac:dyDescent="0.15">
      <c r="A282" s="142">
        <v>281</v>
      </c>
      <c r="B282" s="142"/>
      <c r="C282" s="143">
        <f t="shared" si="0"/>
        <v>92644.67924694033</v>
      </c>
      <c r="D282" s="143">
        <f t="shared" si="1"/>
        <v>90500.040861619505</v>
      </c>
      <c r="E282" s="143">
        <f t="shared" si="2"/>
        <v>94789.317632261154</v>
      </c>
    </row>
    <row r="283" spans="1:5" ht="12.75" customHeight="1" x14ac:dyDescent="0.15">
      <c r="A283" s="142">
        <v>282</v>
      </c>
      <c r="B283" s="142"/>
      <c r="C283" s="143">
        <f t="shared" si="0"/>
        <v>93529.980010248226</v>
      </c>
      <c r="D283" s="143">
        <f t="shared" si="1"/>
        <v>91282.398477573384</v>
      </c>
      <c r="E283" s="143">
        <f t="shared" si="2"/>
        <v>95777.561542923067</v>
      </c>
    </row>
    <row r="284" spans="1:5" ht="12.75" customHeight="1" x14ac:dyDescent="0.15">
      <c r="A284" s="142">
        <v>283</v>
      </c>
      <c r="B284" s="142"/>
      <c r="C284" s="143">
        <f t="shared" si="0"/>
        <v>94415.280773556136</v>
      </c>
      <c r="D284" s="143">
        <f t="shared" si="1"/>
        <v>92063.160127019903</v>
      </c>
      <c r="E284" s="143">
        <f t="shared" si="2"/>
        <v>96767.40142009237</v>
      </c>
    </row>
    <row r="285" spans="1:5" ht="12.75" customHeight="1" x14ac:dyDescent="0.15">
      <c r="A285" s="142">
        <v>284</v>
      </c>
      <c r="B285" s="142"/>
      <c r="C285" s="143">
        <f t="shared" si="0"/>
        <v>95300.581536864032</v>
      </c>
      <c r="D285" s="143">
        <f t="shared" si="1"/>
        <v>92842.349811552966</v>
      </c>
      <c r="E285" s="143">
        <f t="shared" si="2"/>
        <v>97758.813262175099</v>
      </c>
    </row>
    <row r="286" spans="1:5" ht="12.75" customHeight="1" x14ac:dyDescent="0.15">
      <c r="A286" s="142">
        <v>285</v>
      </c>
      <c r="B286" s="142"/>
      <c r="C286" s="143">
        <f t="shared" si="0"/>
        <v>96185.882300171943</v>
      </c>
      <c r="D286" s="143">
        <f t="shared" si="1"/>
        <v>93619.990481247471</v>
      </c>
      <c r="E286" s="143">
        <f t="shared" si="2"/>
        <v>98751.774119096415</v>
      </c>
    </row>
    <row r="287" spans="1:5" ht="12.75" customHeight="1" x14ac:dyDescent="0.15">
      <c r="A287" s="142">
        <v>286</v>
      </c>
      <c r="B287" s="142"/>
      <c r="C287" s="143">
        <f t="shared" si="0"/>
        <v>97071.183063479839</v>
      </c>
      <c r="D287" s="143">
        <f t="shared" si="1"/>
        <v>94396.10410928684</v>
      </c>
      <c r="E287" s="143">
        <f t="shared" si="2"/>
        <v>99746.262017672838</v>
      </c>
    </row>
    <row r="288" spans="1:5" ht="12.75" customHeight="1" x14ac:dyDescent="0.15">
      <c r="A288" s="142">
        <v>287</v>
      </c>
      <c r="B288" s="142"/>
      <c r="C288" s="143">
        <f t="shared" si="0"/>
        <v>97956.483826787735</v>
      </c>
      <c r="D288" s="143">
        <f t="shared" si="1"/>
        <v>95170.711759377111</v>
      </c>
      <c r="E288" s="143">
        <f t="shared" si="2"/>
        <v>100742.25589419836</v>
      </c>
    </row>
    <row r="289" spans="1:5" ht="12.75" customHeight="1" x14ac:dyDescent="0.15">
      <c r="A289" s="142">
        <v>288</v>
      </c>
      <c r="B289" s="142"/>
      <c r="C289" s="143">
        <f t="shared" si="0"/>
        <v>98841.784590095631</v>
      </c>
      <c r="D289" s="143">
        <f t="shared" si="1"/>
        <v>95943.833646820101</v>
      </c>
      <c r="E289" s="143">
        <f t="shared" si="2"/>
        <v>101739.73553337116</v>
      </c>
    </row>
    <row r="290" spans="1:5" ht="12.75" customHeight="1" x14ac:dyDescent="0.15">
      <c r="A290" s="142">
        <v>289</v>
      </c>
      <c r="B290" s="142"/>
      <c r="C290" s="143">
        <f t="shared" si="0"/>
        <v>99727.085353403541</v>
      </c>
      <c r="D290" s="143">
        <f t="shared" si="1"/>
        <v>96715.489193992995</v>
      </c>
      <c r="E290" s="143">
        <f t="shared" si="2"/>
        <v>102738.68151281409</v>
      </c>
    </row>
    <row r="291" spans="1:5" ht="12.75" customHeight="1" x14ac:dyDescent="0.15">
      <c r="A291" s="142">
        <v>290</v>
      </c>
      <c r="B291" s="142"/>
      <c r="C291" s="143">
        <f t="shared" si="0"/>
        <v>100612.38611671145</v>
      </c>
      <c r="D291" s="143">
        <f t="shared" si="1"/>
        <v>97485.697080876445</v>
      </c>
      <c r="E291" s="143">
        <f t="shared" si="2"/>
        <v>103739.07515254646</v>
      </c>
    </row>
    <row r="292" spans="1:5" ht="12.75" customHeight="1" x14ac:dyDescent="0.15">
      <c r="A292" s="142">
        <v>291</v>
      </c>
      <c r="B292" s="142"/>
      <c r="C292" s="143">
        <f t="shared" si="0"/>
        <v>101497.68688001935</v>
      </c>
      <c r="D292" s="143">
        <f t="shared" si="1"/>
        <v>98254.475291185518</v>
      </c>
      <c r="E292" s="143">
        <f t="shared" si="2"/>
        <v>104740.89846885318</v>
      </c>
    </row>
    <row r="293" spans="1:5" ht="12.75" customHeight="1" x14ac:dyDescent="0.15">
      <c r="A293" s="142">
        <v>292</v>
      </c>
      <c r="B293" s="142"/>
      <c r="C293" s="143">
        <f t="shared" si="0"/>
        <v>102382.98764332724</v>
      </c>
      <c r="D293" s="143">
        <f t="shared" si="1"/>
        <v>99021.841154583657</v>
      </c>
      <c r="E293" s="143">
        <f t="shared" si="2"/>
        <v>105744.13413207083</v>
      </c>
    </row>
    <row r="294" spans="1:5" ht="12.75" customHeight="1" x14ac:dyDescent="0.15">
      <c r="A294" s="142">
        <v>293</v>
      </c>
      <c r="B294" s="142"/>
      <c r="C294" s="143">
        <f t="shared" si="0"/>
        <v>103268.28840663514</v>
      </c>
      <c r="D294" s="143">
        <f t="shared" si="1"/>
        <v>99787.81138539745</v>
      </c>
      <c r="E294" s="143">
        <f t="shared" si="2"/>
        <v>106748.76542787283</v>
      </c>
    </row>
    <row r="295" spans="1:5" ht="12.75" customHeight="1" x14ac:dyDescent="0.15">
      <c r="A295" s="142">
        <v>294</v>
      </c>
      <c r="B295" s="142"/>
      <c r="C295" s="143">
        <f t="shared" si="0"/>
        <v>104153.58916994305</v>
      </c>
      <c r="D295" s="143">
        <f t="shared" si="1"/>
        <v>100552.40211819633</v>
      </c>
      <c r="E295" s="143">
        <f t="shared" si="2"/>
        <v>107754.77622168977</v>
      </c>
    </row>
    <row r="296" spans="1:5" ht="12.75" customHeight="1" x14ac:dyDescent="0.15">
      <c r="A296" s="142">
        <v>295</v>
      </c>
      <c r="B296" s="142"/>
      <c r="C296" s="143">
        <f t="shared" si="0"/>
        <v>105038.88993325096</v>
      </c>
      <c r="D296" s="143">
        <f t="shared" si="1"/>
        <v>101315.62894055675</v>
      </c>
      <c r="E296" s="143">
        <f t="shared" si="2"/>
        <v>108762.15092594517</v>
      </c>
    </row>
    <row r="297" spans="1:5" ht="12.75" customHeight="1" x14ac:dyDescent="0.15">
      <c r="A297" s="142">
        <v>296</v>
      </c>
      <c r="B297" s="142"/>
      <c r="C297" s="143">
        <f t="shared" si="0"/>
        <v>105924.19069655886</v>
      </c>
      <c r="D297" s="143">
        <f t="shared" si="1"/>
        <v>102077.50692329067</v>
      </c>
      <c r="E297" s="143">
        <f t="shared" si="2"/>
        <v>109770.87446982705</v>
      </c>
    </row>
    <row r="298" spans="1:5" ht="12.75" customHeight="1" x14ac:dyDescent="0.15">
      <c r="A298" s="142">
        <v>297</v>
      </c>
      <c r="B298" s="142"/>
      <c r="C298" s="143">
        <f t="shared" si="0"/>
        <v>106809.49145986675</v>
      </c>
      <c r="D298" s="143">
        <f t="shared" si="1"/>
        <v>102838.05064838548</v>
      </c>
      <c r="E298" s="143">
        <f t="shared" si="2"/>
        <v>110780.93227134802</v>
      </c>
    </row>
    <row r="299" spans="1:5" ht="12.75" customHeight="1" x14ac:dyDescent="0.15">
      <c r="A299" s="142">
        <v>298</v>
      </c>
      <c r="B299" s="142"/>
      <c r="C299" s="143">
        <f t="shared" si="0"/>
        <v>107694.79222317465</v>
      </c>
      <c r="D299" s="143">
        <f t="shared" si="1"/>
        <v>103597.27423487342</v>
      </c>
      <c r="E299" s="143">
        <f t="shared" si="2"/>
        <v>111792.31021147588</v>
      </c>
    </row>
    <row r="300" spans="1:5" ht="12.75" customHeight="1" x14ac:dyDescent="0.15">
      <c r="A300" s="142">
        <v>299</v>
      </c>
      <c r="B300" s="142"/>
      <c r="C300" s="143">
        <f t="shared" si="0"/>
        <v>108580.09298648256</v>
      </c>
      <c r="D300" s="143">
        <f t="shared" si="1"/>
        <v>104355.19136282369</v>
      </c>
      <c r="E300" s="143">
        <f t="shared" si="2"/>
        <v>112804.99461014142</v>
      </c>
    </row>
    <row r="301" spans="1:5" ht="12.75" customHeight="1" x14ac:dyDescent="0.15">
      <c r="A301" s="142">
        <v>300</v>
      </c>
      <c r="B301" s="142"/>
      <c r="C301" s="143">
        <f t="shared" si="0"/>
        <v>109465.39374979047</v>
      </c>
      <c r="D301" s="143">
        <f t="shared" si="1"/>
        <v>105111.81529562891</v>
      </c>
      <c r="E301" s="143">
        <f t="shared" si="2"/>
        <v>113818.97220395203</v>
      </c>
    </row>
    <row r="302" spans="1:5" ht="12.75" customHeight="1" x14ac:dyDescent="0.15">
      <c r="A302" s="142">
        <v>301</v>
      </c>
      <c r="B302" s="142"/>
      <c r="C302" s="143">
        <f t="shared" si="0"/>
        <v>110350.69451309837</v>
      </c>
      <c r="D302" s="143">
        <f t="shared" si="1"/>
        <v>105867.15890073881</v>
      </c>
      <c r="E302" s="143">
        <f t="shared" si="2"/>
        <v>114834.23012545792</v>
      </c>
    </row>
    <row r="303" spans="1:5" ht="12.75" customHeight="1" x14ac:dyDescent="0.15">
      <c r="A303" s="142">
        <v>302</v>
      </c>
      <c r="B303" s="142"/>
      <c r="C303" s="143">
        <f t="shared" si="0"/>
        <v>111235.99527640626</v>
      </c>
      <c r="D303" s="143">
        <f t="shared" si="1"/>
        <v>106621.23466897749</v>
      </c>
      <c r="E303" s="143">
        <f t="shared" si="2"/>
        <v>115850.75588383504</v>
      </c>
    </row>
    <row r="304" spans="1:5" ht="12.75" customHeight="1" x14ac:dyDescent="0.15">
      <c r="A304" s="142">
        <v>303</v>
      </c>
      <c r="B304" s="142"/>
      <c r="C304" s="143">
        <f t="shared" si="0"/>
        <v>112121.29603971416</v>
      </c>
      <c r="D304" s="143">
        <f t="shared" si="1"/>
        <v>107374.05473256628</v>
      </c>
      <c r="E304" s="143">
        <f t="shared" si="2"/>
        <v>116868.53734686204</v>
      </c>
    </row>
    <row r="305" spans="1:5" ht="12.75" customHeight="1" x14ac:dyDescent="0.15">
      <c r="A305" s="142">
        <v>304</v>
      </c>
      <c r="B305" s="142"/>
      <c r="C305" s="143">
        <f t="shared" si="0"/>
        <v>113006.59680302207</v>
      </c>
      <c r="D305" s="143">
        <f t="shared" si="1"/>
        <v>108125.6308819618</v>
      </c>
      <c r="E305" s="143">
        <f t="shared" si="2"/>
        <v>117887.56272408234</v>
      </c>
    </row>
    <row r="306" spans="1:5" ht="12.75" customHeight="1" x14ac:dyDescent="0.15">
      <c r="A306" s="142">
        <v>305</v>
      </c>
      <c r="B306" s="142"/>
      <c r="C306" s="143">
        <f t="shared" si="0"/>
        <v>113891.89756632998</v>
      </c>
      <c r="D306" s="143">
        <f t="shared" si="1"/>
        <v>108875.97458160731</v>
      </c>
      <c r="E306" s="143">
        <f t="shared" si="2"/>
        <v>118907.82055105265</v>
      </c>
    </row>
    <row r="307" spans="1:5" ht="12.75" customHeight="1" x14ac:dyDescent="0.15">
      <c r="A307" s="142">
        <v>306</v>
      </c>
      <c r="B307" s="142"/>
      <c r="C307" s="143">
        <f t="shared" si="0"/>
        <v>114777.19832963787</v>
      </c>
      <c r="D307" s="143">
        <f t="shared" si="1"/>
        <v>109625.09698468604</v>
      </c>
      <c r="E307" s="143">
        <f t="shared" si="2"/>
        <v>119929.29967458971</v>
      </c>
    </row>
    <row r="308" spans="1:5" ht="12.75" customHeight="1" x14ac:dyDescent="0.15">
      <c r="A308" s="142">
        <v>307</v>
      </c>
      <c r="B308" s="142"/>
      <c r="C308" s="143">
        <f t="shared" si="0"/>
        <v>115662.49909294577</v>
      </c>
      <c r="D308" s="143">
        <f t="shared" si="1"/>
        <v>110373.00894695634</v>
      </c>
      <c r="E308" s="143">
        <f t="shared" si="2"/>
        <v>120951.9892389352</v>
      </c>
    </row>
    <row r="309" spans="1:5" ht="12.75" customHeight="1" x14ac:dyDescent="0.15">
      <c r="A309" s="142">
        <v>308</v>
      </c>
      <c r="B309" s="142"/>
      <c r="C309" s="143">
        <f t="shared" si="0"/>
        <v>116547.79985625367</v>
      </c>
      <c r="D309" s="143">
        <f t="shared" si="1"/>
        <v>111119.72103974092</v>
      </c>
      <c r="E309" s="143">
        <f t="shared" si="2"/>
        <v>121975.87867276641</v>
      </c>
    </row>
    <row r="310" spans="1:5" ht="12.75" customHeight="1" x14ac:dyDescent="0.15">
      <c r="A310" s="142">
        <v>309</v>
      </c>
      <c r="B310" s="142"/>
      <c r="C310" s="143">
        <f t="shared" si="0"/>
        <v>117433.10061956158</v>
      </c>
      <c r="D310" s="143">
        <f t="shared" si="1"/>
        <v>111865.24356213535</v>
      </c>
      <c r="E310" s="143">
        <f t="shared" si="2"/>
        <v>123000.9576769878</v>
      </c>
    </row>
    <row r="311" spans="1:5" ht="12.75" customHeight="1" x14ac:dyDescent="0.15">
      <c r="A311" s="142">
        <v>310</v>
      </c>
      <c r="B311" s="142"/>
      <c r="C311" s="143">
        <f t="shared" si="0"/>
        <v>118318.40138286949</v>
      </c>
      <c r="D311" s="143">
        <f t="shared" si="1"/>
        <v>112609.5865524953</v>
      </c>
      <c r="E311" s="143">
        <f t="shared" si="2"/>
        <v>124027.21621324368</v>
      </c>
    </row>
    <row r="312" spans="1:5" ht="12.75" customHeight="1" x14ac:dyDescent="0.15">
      <c r="A312" s="142">
        <v>311</v>
      </c>
      <c r="B312" s="142"/>
      <c r="C312" s="143">
        <f t="shared" si="0"/>
        <v>119203.70214617738</v>
      </c>
      <c r="D312" s="143">
        <f t="shared" si="1"/>
        <v>113352.75979925637</v>
      </c>
      <c r="E312" s="143">
        <f t="shared" si="2"/>
        <v>125054.6444930984</v>
      </c>
    </row>
    <row r="313" spans="1:5" ht="12.75" customHeight="1" x14ac:dyDescent="0.15">
      <c r="A313" s="142">
        <v>312</v>
      </c>
      <c r="B313" s="142"/>
      <c r="C313" s="143">
        <f t="shared" si="0"/>
        <v>120089.00290948528</v>
      </c>
      <c r="D313" s="143">
        <f t="shared" si="1"/>
        <v>114094.7728511357</v>
      </c>
      <c r="E313" s="143">
        <f t="shared" si="2"/>
        <v>126083.23296783486</v>
      </c>
    </row>
    <row r="314" spans="1:5" ht="12.75" customHeight="1" x14ac:dyDescent="0.15">
      <c r="A314" s="142">
        <v>313</v>
      </c>
      <c r="B314" s="142"/>
      <c r="C314" s="143">
        <f t="shared" si="0"/>
        <v>120974.30367279318</v>
      </c>
      <c r="D314" s="143">
        <f t="shared" si="1"/>
        <v>114835.63502675958</v>
      </c>
      <c r="E314" s="143">
        <f t="shared" si="2"/>
        <v>127112.97231882677</v>
      </c>
    </row>
    <row r="315" spans="1:5" ht="15.75" customHeight="1" x14ac:dyDescent="0.15"/>
    <row r="316" spans="1:5" ht="15.75" customHeight="1" x14ac:dyDescent="0.15"/>
    <row r="317" spans="1:5" ht="15.75" customHeight="1" x14ac:dyDescent="0.15"/>
    <row r="318" spans="1:5" ht="15.75" customHeight="1" x14ac:dyDescent="0.15"/>
    <row r="319" spans="1:5" ht="15.75" customHeight="1" x14ac:dyDescent="0.15"/>
    <row r="320" spans="1:5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0"/>
  <sheetViews>
    <sheetView workbookViewId="0"/>
  </sheetViews>
  <sheetFormatPr baseColWidth="10" defaultColWidth="12.6640625" defaultRowHeight="15" customHeight="1" x14ac:dyDescent="0.15"/>
  <cols>
    <col min="1" max="1" width="6.33203125" customWidth="1"/>
    <col min="2" max="2" width="12.83203125" customWidth="1"/>
    <col min="3" max="4" width="12.6640625" customWidth="1"/>
    <col min="5" max="5" width="41.33203125" customWidth="1"/>
    <col min="6" max="7" width="12.6640625" customWidth="1"/>
    <col min="8" max="8" width="17.1640625" customWidth="1"/>
    <col min="9" max="17" width="12.6640625" customWidth="1"/>
    <col min="18" max="18" width="14.33203125" customWidth="1"/>
    <col min="19" max="20" width="12.6640625" customWidth="1"/>
    <col min="21" max="21" width="14.33203125" customWidth="1"/>
    <col min="22" max="22" width="12.6640625" customWidth="1"/>
    <col min="23" max="26" width="14.33203125" customWidth="1"/>
  </cols>
  <sheetData>
    <row r="1" spans="1:22" ht="15.75" customHeight="1" x14ac:dyDescent="0.2">
      <c r="A1" s="144" t="s">
        <v>107</v>
      </c>
      <c r="B1" s="144" t="s">
        <v>108</v>
      </c>
      <c r="C1" s="145"/>
      <c r="D1" s="145"/>
      <c r="E1" s="144" t="s">
        <v>109</v>
      </c>
      <c r="F1" s="144" t="s">
        <v>110</v>
      </c>
      <c r="G1" s="145"/>
      <c r="H1" s="146" t="s">
        <v>111</v>
      </c>
      <c r="I1" s="145"/>
      <c r="J1" s="145"/>
      <c r="K1" s="145"/>
      <c r="L1" s="145"/>
      <c r="M1" s="145"/>
      <c r="N1" s="145"/>
      <c r="O1" s="145" t="s">
        <v>112</v>
      </c>
      <c r="P1" s="147" t="s">
        <v>113</v>
      </c>
      <c r="Q1" s="148" t="s">
        <v>110</v>
      </c>
      <c r="R1" s="149" t="s">
        <v>114</v>
      </c>
      <c r="S1" s="150" t="s">
        <v>115</v>
      </c>
      <c r="T1" s="147" t="s">
        <v>110</v>
      </c>
      <c r="U1" s="149" t="s">
        <v>114</v>
      </c>
      <c r="V1" s="150" t="s">
        <v>116</v>
      </c>
    </row>
    <row r="2" spans="1:22" ht="15.75" customHeight="1" x14ac:dyDescent="0.2">
      <c r="A2" s="151">
        <v>1</v>
      </c>
      <c r="B2" s="151">
        <v>292</v>
      </c>
      <c r="C2" s="152"/>
      <c r="D2" s="153" t="s">
        <v>117</v>
      </c>
      <c r="E2" s="154">
        <f>+'Damage Calculator'!B11</f>
        <v>222</v>
      </c>
      <c r="F2" s="154">
        <f>+'Damage Calculator'!B12</f>
        <v>200</v>
      </c>
      <c r="G2" s="145"/>
      <c r="H2" s="155" t="s">
        <v>118</v>
      </c>
      <c r="I2" s="156" t="s">
        <v>119</v>
      </c>
      <c r="J2" s="145"/>
      <c r="K2" s="145"/>
      <c r="L2" s="145"/>
      <c r="M2" s="145"/>
      <c r="N2" s="145"/>
      <c r="O2" s="145">
        <f>VLOOKUP(F2,A:B,2,FALSE)</f>
        <v>32420</v>
      </c>
      <c r="P2" s="157">
        <f>VLOOKUP(E2,A:B,2,FALSE)</f>
        <v>42539</v>
      </c>
      <c r="Q2" s="158">
        <v>1</v>
      </c>
      <c r="R2" s="159">
        <f t="shared" ref="R2:R256" si="0">VLOOKUP(Q2,$A:$B,2,FALSE)/S2*100</f>
        <v>0.68174920034554409</v>
      </c>
      <c r="S2" s="160">
        <f t="shared" ref="S2:S256" si="1">(VLOOKUP($E$2,$A:$B,2,FALSE)+VLOOKUP(Q2,$A:$B,2,FALSE))</f>
        <v>42831</v>
      </c>
      <c r="T2" s="151">
        <v>1</v>
      </c>
      <c r="U2" s="159">
        <f t="shared" ref="U2:U256" si="2">(VLOOKUP(T2,$A:$B,2,FALSE)/9)/V2*100</f>
        <v>7.5749911149504898E-2</v>
      </c>
      <c r="V2" s="160">
        <f t="shared" ref="V2:V256" si="3">(VLOOKUP($E$2,$A:$B,2,FALSE)+VLOOKUP(Q2,$A:$B,2,FALSE))</f>
        <v>42831</v>
      </c>
    </row>
    <row r="3" spans="1:22" ht="15.75" customHeight="1" x14ac:dyDescent="0.2">
      <c r="A3" s="151">
        <v>2</v>
      </c>
      <c r="B3" s="151">
        <v>385</v>
      </c>
      <c r="C3" s="152"/>
      <c r="D3" s="145"/>
      <c r="E3" s="161" t="s">
        <v>120</v>
      </c>
      <c r="F3" s="144" t="s">
        <v>121</v>
      </c>
      <c r="G3" s="145"/>
      <c r="H3" s="155"/>
      <c r="I3" s="156" t="s">
        <v>122</v>
      </c>
      <c r="J3" s="145"/>
      <c r="K3" s="145"/>
      <c r="L3" s="145"/>
      <c r="M3" s="145"/>
      <c r="N3" s="145"/>
      <c r="O3" s="145"/>
      <c r="P3" s="145"/>
      <c r="Q3" s="158">
        <v>2</v>
      </c>
      <c r="R3" s="159">
        <f t="shared" si="0"/>
        <v>0.8969341161121982</v>
      </c>
      <c r="S3" s="160">
        <f t="shared" si="1"/>
        <v>42924</v>
      </c>
      <c r="T3" s="151">
        <v>2</v>
      </c>
      <c r="U3" s="159">
        <f t="shared" si="2"/>
        <v>9.9659346234688695E-2</v>
      </c>
      <c r="V3" s="160">
        <f t="shared" si="3"/>
        <v>42924</v>
      </c>
    </row>
    <row r="4" spans="1:22" ht="15.75" customHeight="1" x14ac:dyDescent="0.2">
      <c r="A4" s="151">
        <v>3</v>
      </c>
      <c r="B4" s="151">
        <v>478</v>
      </c>
      <c r="C4" s="152"/>
      <c r="D4" s="145"/>
      <c r="E4" s="162">
        <f>VLOOKUP(F2,$A:$B,2,FALSE)/F4*100</f>
        <v>43.250310169559356</v>
      </c>
      <c r="F4" s="162">
        <f>(VLOOKUP(F2,A:B,2,FALSE)+VLOOKUP(E2,A:B,2,FALSE))</f>
        <v>74959</v>
      </c>
      <c r="G4" s="145"/>
      <c r="H4" s="163" t="s">
        <v>123</v>
      </c>
      <c r="I4" s="145"/>
      <c r="J4" s="145"/>
      <c r="K4" s="145"/>
      <c r="L4" s="145"/>
      <c r="M4" s="145"/>
      <c r="N4" s="145"/>
      <c r="O4" s="145"/>
      <c r="P4" s="145"/>
      <c r="Q4" s="158">
        <v>3</v>
      </c>
      <c r="R4" s="159">
        <f t="shared" si="0"/>
        <v>1.111188599855871</v>
      </c>
      <c r="S4" s="160">
        <f t="shared" si="1"/>
        <v>43017</v>
      </c>
      <c r="T4" s="151">
        <v>3</v>
      </c>
      <c r="U4" s="159">
        <f t="shared" si="2"/>
        <v>0.12346539998398566</v>
      </c>
      <c r="V4" s="160">
        <f t="shared" si="3"/>
        <v>43017</v>
      </c>
    </row>
    <row r="5" spans="1:22" ht="15.75" customHeight="1" x14ac:dyDescent="0.2">
      <c r="A5" s="151">
        <v>4</v>
      </c>
      <c r="B5" s="151">
        <v>572</v>
      </c>
      <c r="C5" s="152"/>
      <c r="D5" s="145"/>
      <c r="E5" s="164">
        <f>100-E4</f>
        <v>56.749689830440644</v>
      </c>
      <c r="F5" s="145"/>
      <c r="G5" s="145"/>
      <c r="H5" s="163" t="s">
        <v>124</v>
      </c>
      <c r="I5" s="145"/>
      <c r="J5" s="145"/>
      <c r="K5" s="145"/>
      <c r="L5" s="145"/>
      <c r="M5" s="145"/>
      <c r="N5" s="145"/>
      <c r="O5" s="145"/>
      <c r="P5" s="145"/>
      <c r="Q5" s="158">
        <v>4</v>
      </c>
      <c r="R5" s="159">
        <f t="shared" si="0"/>
        <v>1.3268075433184106</v>
      </c>
      <c r="S5" s="160">
        <f t="shared" si="1"/>
        <v>43111</v>
      </c>
      <c r="T5" s="151">
        <v>4</v>
      </c>
      <c r="U5" s="159">
        <f t="shared" si="2"/>
        <v>0.14742306036871228</v>
      </c>
      <c r="V5" s="160">
        <f t="shared" si="3"/>
        <v>43111</v>
      </c>
    </row>
    <row r="6" spans="1:22" ht="15.75" customHeight="1" x14ac:dyDescent="0.2">
      <c r="A6" s="151">
        <v>5</v>
      </c>
      <c r="B6" s="151">
        <v>666</v>
      </c>
      <c r="C6" s="152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58">
        <v>5</v>
      </c>
      <c r="R6" s="159">
        <f t="shared" si="0"/>
        <v>1.5414882536743433</v>
      </c>
      <c r="S6" s="160">
        <f t="shared" si="1"/>
        <v>43205</v>
      </c>
      <c r="T6" s="151">
        <v>5</v>
      </c>
      <c r="U6" s="159">
        <f t="shared" si="2"/>
        <v>0.1712764726304826</v>
      </c>
      <c r="V6" s="160">
        <f t="shared" si="3"/>
        <v>43205</v>
      </c>
    </row>
    <row r="7" spans="1:22" ht="15.75" customHeight="1" x14ac:dyDescent="0.2">
      <c r="A7" s="151">
        <v>6</v>
      </c>
      <c r="B7" s="151">
        <v>760</v>
      </c>
      <c r="C7" s="152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58">
        <v>6</v>
      </c>
      <c r="R7" s="159">
        <f t="shared" si="0"/>
        <v>1.7552368414974941</v>
      </c>
      <c r="S7" s="160">
        <f t="shared" si="1"/>
        <v>43299</v>
      </c>
      <c r="T7" s="151">
        <v>6</v>
      </c>
      <c r="U7" s="159">
        <f t="shared" si="2"/>
        <v>0.19502631572194382</v>
      </c>
      <c r="V7" s="160">
        <f t="shared" si="3"/>
        <v>43299</v>
      </c>
    </row>
    <row r="8" spans="1:22" ht="15.75" customHeight="1" x14ac:dyDescent="0.2">
      <c r="A8" s="151">
        <v>7</v>
      </c>
      <c r="B8" s="151">
        <v>853</v>
      </c>
      <c r="C8" s="152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58">
        <v>7</v>
      </c>
      <c r="R8" s="159">
        <f t="shared" si="0"/>
        <v>1.9658001474926252</v>
      </c>
      <c r="S8" s="160">
        <f t="shared" si="1"/>
        <v>43392</v>
      </c>
      <c r="T8" s="151">
        <v>7</v>
      </c>
      <c r="U8" s="159">
        <f t="shared" si="2"/>
        <v>0.2184222386102917</v>
      </c>
      <c r="V8" s="160">
        <f t="shared" si="3"/>
        <v>43392</v>
      </c>
    </row>
    <row r="9" spans="1:22" ht="15.75" customHeight="1" x14ac:dyDescent="0.2">
      <c r="A9" s="151">
        <v>8</v>
      </c>
      <c r="B9" s="151">
        <v>948</v>
      </c>
      <c r="C9" s="152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58">
        <v>8</v>
      </c>
      <c r="R9" s="159">
        <f t="shared" si="0"/>
        <v>2.1799618276726376</v>
      </c>
      <c r="S9" s="160">
        <f t="shared" si="1"/>
        <v>43487</v>
      </c>
      <c r="T9" s="151">
        <v>8</v>
      </c>
      <c r="U9" s="159">
        <f t="shared" si="2"/>
        <v>0.24221798085251531</v>
      </c>
      <c r="V9" s="160">
        <f t="shared" si="3"/>
        <v>43487</v>
      </c>
    </row>
    <row r="10" spans="1:22" ht="15.75" customHeight="1" x14ac:dyDescent="0.2">
      <c r="A10" s="151">
        <v>9</v>
      </c>
      <c r="B10" s="151">
        <v>1042</v>
      </c>
      <c r="C10" s="152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58">
        <v>9</v>
      </c>
      <c r="R10" s="159">
        <f t="shared" si="0"/>
        <v>2.3909501847135219</v>
      </c>
      <c r="S10" s="160">
        <f t="shared" si="1"/>
        <v>43581</v>
      </c>
      <c r="T10" s="151">
        <v>9</v>
      </c>
      <c r="U10" s="159">
        <f t="shared" si="2"/>
        <v>0.26566113163483573</v>
      </c>
      <c r="V10" s="160">
        <f t="shared" si="3"/>
        <v>43581</v>
      </c>
    </row>
    <row r="11" spans="1:22" ht="15.75" customHeight="1" x14ac:dyDescent="0.2">
      <c r="A11" s="151">
        <v>10</v>
      </c>
      <c r="B11" s="151">
        <v>1136</v>
      </c>
      <c r="C11" s="152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58">
        <v>10</v>
      </c>
      <c r="R11" s="159">
        <f t="shared" si="0"/>
        <v>2.6010303377218089</v>
      </c>
      <c r="S11" s="160">
        <f t="shared" si="1"/>
        <v>43675</v>
      </c>
      <c r="T11" s="151">
        <v>10</v>
      </c>
      <c r="U11" s="159">
        <f t="shared" si="2"/>
        <v>0.28900337085797878</v>
      </c>
      <c r="V11" s="160">
        <f t="shared" si="3"/>
        <v>43675</v>
      </c>
    </row>
    <row r="12" spans="1:22" ht="15.75" customHeight="1" x14ac:dyDescent="0.2">
      <c r="A12" s="151">
        <v>11</v>
      </c>
      <c r="B12" s="151">
        <v>1231</v>
      </c>
      <c r="C12" s="152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58">
        <v>11</v>
      </c>
      <c r="R12" s="159">
        <f t="shared" si="0"/>
        <v>2.8124286040667124</v>
      </c>
      <c r="S12" s="160">
        <f t="shared" si="1"/>
        <v>43770</v>
      </c>
      <c r="T12" s="151">
        <v>11</v>
      </c>
      <c r="U12" s="159">
        <f t="shared" si="2"/>
        <v>0.31249206711852356</v>
      </c>
      <c r="V12" s="160">
        <f t="shared" si="3"/>
        <v>43770</v>
      </c>
    </row>
    <row r="13" spans="1:22" ht="15.75" customHeight="1" x14ac:dyDescent="0.2">
      <c r="A13" s="151">
        <v>12</v>
      </c>
      <c r="B13" s="151">
        <v>1325</v>
      </c>
      <c r="C13" s="152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58">
        <v>12</v>
      </c>
      <c r="R13" s="159">
        <f t="shared" si="0"/>
        <v>3.0207003465256248</v>
      </c>
      <c r="S13" s="160">
        <f t="shared" si="1"/>
        <v>43864</v>
      </c>
      <c r="T13" s="151">
        <v>12</v>
      </c>
      <c r="U13" s="159">
        <f t="shared" si="2"/>
        <v>0.33563337183618053</v>
      </c>
      <c r="V13" s="160">
        <f t="shared" si="3"/>
        <v>43864</v>
      </c>
    </row>
    <row r="14" spans="1:22" ht="15.75" customHeight="1" x14ac:dyDescent="0.2">
      <c r="A14" s="151">
        <v>13</v>
      </c>
      <c r="B14" s="151">
        <v>1420</v>
      </c>
      <c r="C14" s="152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58">
        <v>13</v>
      </c>
      <c r="R14" s="159">
        <f t="shared" si="0"/>
        <v>3.2302827634841553</v>
      </c>
      <c r="S14" s="160">
        <f t="shared" si="1"/>
        <v>43959</v>
      </c>
      <c r="T14" s="151">
        <v>13</v>
      </c>
      <c r="U14" s="159">
        <f t="shared" si="2"/>
        <v>0.35892030705379507</v>
      </c>
      <c r="V14" s="160">
        <f t="shared" si="3"/>
        <v>43959</v>
      </c>
    </row>
    <row r="15" spans="1:22" ht="15.75" customHeight="1" x14ac:dyDescent="0.2">
      <c r="A15" s="151">
        <v>14</v>
      </c>
      <c r="B15" s="151">
        <v>1515</v>
      </c>
      <c r="C15" s="152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58">
        <v>14</v>
      </c>
      <c r="R15" s="159">
        <f t="shared" si="0"/>
        <v>3.4389612747991101</v>
      </c>
      <c r="S15" s="160">
        <f t="shared" si="1"/>
        <v>44054</v>
      </c>
      <c r="T15" s="151">
        <v>14</v>
      </c>
      <c r="U15" s="159">
        <f t="shared" si="2"/>
        <v>0.38210680831101224</v>
      </c>
      <c r="V15" s="160">
        <f t="shared" si="3"/>
        <v>44054</v>
      </c>
    </row>
    <row r="16" spans="1:22" ht="15.75" customHeight="1" x14ac:dyDescent="0.2">
      <c r="A16" s="151">
        <v>15</v>
      </c>
      <c r="B16" s="151">
        <v>1610</v>
      </c>
      <c r="C16" s="152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58">
        <v>15</v>
      </c>
      <c r="R16" s="159">
        <f t="shared" si="0"/>
        <v>3.6467417155541462</v>
      </c>
      <c r="S16" s="160">
        <f t="shared" si="1"/>
        <v>44149</v>
      </c>
      <c r="T16" s="151">
        <v>15</v>
      </c>
      <c r="U16" s="159">
        <f t="shared" si="2"/>
        <v>0.40519352395046065</v>
      </c>
      <c r="V16" s="160">
        <f t="shared" si="3"/>
        <v>44149</v>
      </c>
    </row>
    <row r="17" spans="1:22" ht="15.75" customHeight="1" x14ac:dyDescent="0.2">
      <c r="A17" s="151">
        <v>16</v>
      </c>
      <c r="B17" s="151">
        <v>1705</v>
      </c>
      <c r="C17" s="152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58">
        <v>16</v>
      </c>
      <c r="R17" s="159">
        <f t="shared" si="0"/>
        <v>3.8536298707169334</v>
      </c>
      <c r="S17" s="160">
        <f t="shared" si="1"/>
        <v>44244</v>
      </c>
      <c r="T17" s="151">
        <v>16</v>
      </c>
      <c r="U17" s="159">
        <f t="shared" si="2"/>
        <v>0.42818109674632593</v>
      </c>
      <c r="V17" s="160">
        <f t="shared" si="3"/>
        <v>44244</v>
      </c>
    </row>
    <row r="18" spans="1:22" ht="15.75" customHeight="1" x14ac:dyDescent="0.2">
      <c r="A18" s="151">
        <v>17</v>
      </c>
      <c r="B18" s="151">
        <v>1800</v>
      </c>
      <c r="C18" s="152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58">
        <v>17</v>
      </c>
      <c r="R18" s="159">
        <f t="shared" si="0"/>
        <v>4.0596314756760412</v>
      </c>
      <c r="S18" s="160">
        <f t="shared" si="1"/>
        <v>44339</v>
      </c>
      <c r="T18" s="151">
        <v>17</v>
      </c>
      <c r="U18" s="159">
        <f t="shared" si="2"/>
        <v>0.45107016396400462</v>
      </c>
      <c r="V18" s="160">
        <f t="shared" si="3"/>
        <v>44339</v>
      </c>
    </row>
    <row r="19" spans="1:22" ht="15.75" customHeight="1" x14ac:dyDescent="0.2">
      <c r="A19" s="151">
        <v>18</v>
      </c>
      <c r="B19" s="151">
        <v>1896</v>
      </c>
      <c r="C19" s="152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58">
        <v>18</v>
      </c>
      <c r="R19" s="159">
        <f t="shared" si="0"/>
        <v>4.2669067176775064</v>
      </c>
      <c r="S19" s="160">
        <f t="shared" si="1"/>
        <v>44435</v>
      </c>
      <c r="T19" s="151">
        <v>18</v>
      </c>
      <c r="U19" s="159">
        <f t="shared" si="2"/>
        <v>0.47410074640861177</v>
      </c>
      <c r="V19" s="160">
        <f t="shared" si="3"/>
        <v>44435</v>
      </c>
    </row>
    <row r="20" spans="1:22" ht="15.75" customHeight="1" x14ac:dyDescent="0.2">
      <c r="A20" s="151">
        <v>19</v>
      </c>
      <c r="B20" s="151">
        <v>1992</v>
      </c>
      <c r="C20" s="152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58">
        <v>19</v>
      </c>
      <c r="R20" s="159">
        <f t="shared" si="0"/>
        <v>4.4732882710920485</v>
      </c>
      <c r="S20" s="160">
        <f t="shared" si="1"/>
        <v>44531</v>
      </c>
      <c r="T20" s="151">
        <v>19</v>
      </c>
      <c r="U20" s="159">
        <f t="shared" si="2"/>
        <v>0.49703203012133867</v>
      </c>
      <c r="V20" s="160">
        <f t="shared" si="3"/>
        <v>44531</v>
      </c>
    </row>
    <row r="21" spans="1:22" ht="15.75" customHeight="1" x14ac:dyDescent="0.2">
      <c r="A21" s="151">
        <v>20</v>
      </c>
      <c r="B21" s="151">
        <v>2087</v>
      </c>
      <c r="C21" s="152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58">
        <v>20</v>
      </c>
      <c r="R21" s="159">
        <f t="shared" si="0"/>
        <v>4.676645901492404</v>
      </c>
      <c r="S21" s="160">
        <f t="shared" si="1"/>
        <v>44626</v>
      </c>
      <c r="T21" s="151">
        <v>20</v>
      </c>
      <c r="U21" s="159">
        <f t="shared" si="2"/>
        <v>0.51962732238804488</v>
      </c>
      <c r="V21" s="160">
        <f t="shared" si="3"/>
        <v>44626</v>
      </c>
    </row>
    <row r="22" spans="1:22" ht="15.75" customHeight="1" x14ac:dyDescent="0.2">
      <c r="A22" s="151">
        <v>21</v>
      </c>
      <c r="B22" s="151">
        <v>2183</v>
      </c>
      <c r="C22" s="152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58">
        <v>21</v>
      </c>
      <c r="R22" s="159">
        <f t="shared" si="0"/>
        <v>4.8812664907651717</v>
      </c>
      <c r="S22" s="160">
        <f t="shared" si="1"/>
        <v>44722</v>
      </c>
      <c r="T22" s="151">
        <v>21</v>
      </c>
      <c r="U22" s="159">
        <f t="shared" si="2"/>
        <v>0.54236294341835234</v>
      </c>
      <c r="V22" s="160">
        <f t="shared" si="3"/>
        <v>44722</v>
      </c>
    </row>
    <row r="23" spans="1:22" ht="15.75" customHeight="1" x14ac:dyDescent="0.2">
      <c r="A23" s="151">
        <v>22</v>
      </c>
      <c r="B23" s="151">
        <v>2280</v>
      </c>
      <c r="C23" s="152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58">
        <v>22</v>
      </c>
      <c r="R23" s="159">
        <f t="shared" si="0"/>
        <v>5.0871282268680691</v>
      </c>
      <c r="S23" s="160">
        <f t="shared" si="1"/>
        <v>44819</v>
      </c>
      <c r="T23" s="151">
        <v>22</v>
      </c>
      <c r="U23" s="159">
        <f t="shared" si="2"/>
        <v>0.56523646965200769</v>
      </c>
      <c r="V23" s="160">
        <f t="shared" si="3"/>
        <v>44819</v>
      </c>
    </row>
    <row r="24" spans="1:22" ht="15.75" customHeight="1" x14ac:dyDescent="0.2">
      <c r="A24" s="151">
        <v>23</v>
      </c>
      <c r="B24" s="151">
        <v>2376</v>
      </c>
      <c r="C24" s="152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58">
        <v>23</v>
      </c>
      <c r="R24" s="159">
        <f t="shared" si="0"/>
        <v>5.2899922075030616</v>
      </c>
      <c r="S24" s="160">
        <f t="shared" si="1"/>
        <v>44915</v>
      </c>
      <c r="T24" s="151">
        <v>23</v>
      </c>
      <c r="U24" s="159">
        <f t="shared" si="2"/>
        <v>0.58777691194478465</v>
      </c>
      <c r="V24" s="160">
        <f t="shared" si="3"/>
        <v>44915</v>
      </c>
    </row>
    <row r="25" spans="1:22" ht="15.75" customHeight="1" x14ac:dyDescent="0.2">
      <c r="A25" s="151">
        <v>24</v>
      </c>
      <c r="B25" s="151">
        <v>2472</v>
      </c>
      <c r="C25" s="152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58">
        <v>24</v>
      </c>
      <c r="R25" s="159">
        <f t="shared" si="0"/>
        <v>5.4919908466819223</v>
      </c>
      <c r="S25" s="160">
        <f t="shared" si="1"/>
        <v>45011</v>
      </c>
      <c r="T25" s="151">
        <v>24</v>
      </c>
      <c r="U25" s="159">
        <f t="shared" si="2"/>
        <v>0.61022120518688028</v>
      </c>
      <c r="V25" s="160">
        <f t="shared" si="3"/>
        <v>45011</v>
      </c>
    </row>
    <row r="26" spans="1:22" ht="15.75" customHeight="1" x14ac:dyDescent="0.2">
      <c r="A26" s="151">
        <v>25</v>
      </c>
      <c r="B26" s="151">
        <v>2569</v>
      </c>
      <c r="C26" s="152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58">
        <v>25</v>
      </c>
      <c r="R26" s="159">
        <f t="shared" si="0"/>
        <v>5.6952203600248295</v>
      </c>
      <c r="S26" s="160">
        <f t="shared" si="1"/>
        <v>45108</v>
      </c>
      <c r="T26" s="151">
        <v>25</v>
      </c>
      <c r="U26" s="159">
        <f t="shared" si="2"/>
        <v>0.63280226222498104</v>
      </c>
      <c r="V26" s="160">
        <f t="shared" si="3"/>
        <v>45108</v>
      </c>
    </row>
    <row r="27" spans="1:22" ht="15.75" customHeight="1" x14ac:dyDescent="0.2">
      <c r="A27" s="151">
        <v>26</v>
      </c>
      <c r="B27" s="151">
        <v>2666</v>
      </c>
      <c r="C27" s="152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58">
        <v>26</v>
      </c>
      <c r="R27" s="159">
        <f t="shared" si="0"/>
        <v>5.8975777015816835</v>
      </c>
      <c r="S27" s="160">
        <f t="shared" si="1"/>
        <v>45205</v>
      </c>
      <c r="T27" s="151">
        <v>26</v>
      </c>
      <c r="U27" s="159">
        <f t="shared" si="2"/>
        <v>0.65528641128685372</v>
      </c>
      <c r="V27" s="160">
        <f t="shared" si="3"/>
        <v>45205</v>
      </c>
    </row>
    <row r="28" spans="1:22" ht="15.75" customHeight="1" x14ac:dyDescent="0.2">
      <c r="A28" s="151">
        <v>27</v>
      </c>
      <c r="B28" s="151">
        <v>2763</v>
      </c>
      <c r="C28" s="152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58">
        <v>27</v>
      </c>
      <c r="R28" s="159">
        <f t="shared" si="0"/>
        <v>6.0990684737980665</v>
      </c>
      <c r="S28" s="160">
        <f t="shared" si="1"/>
        <v>45302</v>
      </c>
      <c r="T28" s="151">
        <v>27</v>
      </c>
      <c r="U28" s="159">
        <f t="shared" si="2"/>
        <v>0.67767427486645182</v>
      </c>
      <c r="V28" s="160">
        <f t="shared" si="3"/>
        <v>45302</v>
      </c>
    </row>
    <row r="29" spans="1:22" ht="15.75" customHeight="1" x14ac:dyDescent="0.2">
      <c r="A29" s="151">
        <v>28</v>
      </c>
      <c r="B29" s="151">
        <v>2860</v>
      </c>
      <c r="C29" s="152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58">
        <v>28</v>
      </c>
      <c r="R29" s="159">
        <f t="shared" si="0"/>
        <v>6.2996982312385734</v>
      </c>
      <c r="S29" s="160">
        <f t="shared" si="1"/>
        <v>45399</v>
      </c>
      <c r="T29" s="151">
        <v>28</v>
      </c>
      <c r="U29" s="159">
        <f t="shared" si="2"/>
        <v>0.69996647013761926</v>
      </c>
      <c r="V29" s="160">
        <f t="shared" si="3"/>
        <v>45399</v>
      </c>
    </row>
    <row r="30" spans="1:22" ht="15.75" customHeight="1" x14ac:dyDescent="0.2">
      <c r="A30" s="151">
        <v>29</v>
      </c>
      <c r="B30" s="151">
        <v>2958</v>
      </c>
      <c r="C30" s="152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58">
        <v>29</v>
      </c>
      <c r="R30" s="159">
        <f t="shared" si="0"/>
        <v>6.5015275732465874</v>
      </c>
      <c r="S30" s="160">
        <f t="shared" si="1"/>
        <v>45497</v>
      </c>
      <c r="T30" s="151">
        <v>29</v>
      </c>
      <c r="U30" s="159">
        <f t="shared" si="2"/>
        <v>0.72239195258295419</v>
      </c>
      <c r="V30" s="160">
        <f t="shared" si="3"/>
        <v>45497</v>
      </c>
    </row>
    <row r="31" spans="1:22" ht="15.75" customHeight="1" x14ac:dyDescent="0.2">
      <c r="A31" s="151">
        <v>30</v>
      </c>
      <c r="B31" s="151">
        <v>3055</v>
      </c>
      <c r="C31" s="152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58">
        <v>30</v>
      </c>
      <c r="R31" s="159">
        <f t="shared" si="0"/>
        <v>6.7004430407509767</v>
      </c>
      <c r="S31" s="160">
        <f t="shared" si="1"/>
        <v>45594</v>
      </c>
      <c r="T31" s="151">
        <v>30</v>
      </c>
      <c r="U31" s="159">
        <f t="shared" si="2"/>
        <v>0.7444936711945529</v>
      </c>
      <c r="V31" s="160">
        <f t="shared" si="3"/>
        <v>45594</v>
      </c>
    </row>
    <row r="32" spans="1:22" ht="15.75" customHeight="1" x14ac:dyDescent="0.2">
      <c r="A32" s="151">
        <v>31</v>
      </c>
      <c r="B32" s="151">
        <v>3153</v>
      </c>
      <c r="C32" s="152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58">
        <v>31</v>
      </c>
      <c r="R32" s="159">
        <f t="shared" si="0"/>
        <v>6.9005515188654467</v>
      </c>
      <c r="S32" s="160">
        <f t="shared" si="1"/>
        <v>45692</v>
      </c>
      <c r="T32" s="151">
        <v>31</v>
      </c>
      <c r="U32" s="159">
        <f t="shared" si="2"/>
        <v>0.76672794654060517</v>
      </c>
      <c r="V32" s="160">
        <f t="shared" si="3"/>
        <v>45692</v>
      </c>
    </row>
    <row r="33" spans="1:22" ht="15.75" customHeight="1" x14ac:dyDescent="0.2">
      <c r="A33" s="151">
        <v>32</v>
      </c>
      <c r="B33" s="151">
        <v>3251</v>
      </c>
      <c r="C33" s="152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58">
        <v>32</v>
      </c>
      <c r="R33" s="159">
        <f t="shared" si="0"/>
        <v>7.0998034505350516</v>
      </c>
      <c r="S33" s="160">
        <f t="shared" si="1"/>
        <v>45790</v>
      </c>
      <c r="T33" s="151">
        <v>32</v>
      </c>
      <c r="U33" s="159">
        <f t="shared" si="2"/>
        <v>0.78886705005945024</v>
      </c>
      <c r="V33" s="160">
        <f t="shared" si="3"/>
        <v>45790</v>
      </c>
    </row>
    <row r="34" spans="1:22" ht="15.75" customHeight="1" x14ac:dyDescent="0.2">
      <c r="A34" s="151">
        <v>33</v>
      </c>
      <c r="B34" s="151">
        <v>3350</v>
      </c>
      <c r="C34" s="152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58">
        <v>33</v>
      </c>
      <c r="R34" s="159">
        <f t="shared" si="0"/>
        <v>7.300224454662338</v>
      </c>
      <c r="S34" s="160">
        <f t="shared" si="1"/>
        <v>45889</v>
      </c>
      <c r="T34" s="151">
        <v>33</v>
      </c>
      <c r="U34" s="159">
        <f t="shared" si="2"/>
        <v>0.8111360505180375</v>
      </c>
      <c r="V34" s="160">
        <f t="shared" si="3"/>
        <v>45889</v>
      </c>
    </row>
    <row r="35" spans="1:22" ht="15.75" customHeight="1" x14ac:dyDescent="0.2">
      <c r="A35" s="151">
        <v>34</v>
      </c>
      <c r="B35" s="151">
        <v>3448</v>
      </c>
      <c r="C35" s="152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58">
        <v>34</v>
      </c>
      <c r="R35" s="159">
        <f t="shared" si="0"/>
        <v>7.4977711092265213</v>
      </c>
      <c r="S35" s="160">
        <f t="shared" si="1"/>
        <v>45987</v>
      </c>
      <c r="T35" s="151">
        <v>34</v>
      </c>
      <c r="U35" s="159">
        <f t="shared" si="2"/>
        <v>0.83308567880294671</v>
      </c>
      <c r="V35" s="160">
        <f t="shared" si="3"/>
        <v>45987</v>
      </c>
    </row>
    <row r="36" spans="1:22" ht="15.75" customHeight="1" x14ac:dyDescent="0.2">
      <c r="A36" s="151">
        <v>35</v>
      </c>
      <c r="B36" s="151">
        <v>3547</v>
      </c>
      <c r="C36" s="152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58">
        <v>35</v>
      </c>
      <c r="R36" s="159">
        <f t="shared" si="0"/>
        <v>7.6964804929913644</v>
      </c>
      <c r="S36" s="160">
        <f t="shared" si="1"/>
        <v>46086</v>
      </c>
      <c r="T36" s="151">
        <v>35</v>
      </c>
      <c r="U36" s="159">
        <f t="shared" si="2"/>
        <v>0.8551644992212627</v>
      </c>
      <c r="V36" s="160">
        <f t="shared" si="3"/>
        <v>46086</v>
      </c>
    </row>
    <row r="37" spans="1:22" ht="15.75" customHeight="1" x14ac:dyDescent="0.2">
      <c r="A37" s="151">
        <v>36</v>
      </c>
      <c r="B37" s="151">
        <v>3646</v>
      </c>
      <c r="C37" s="152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58">
        <v>36</v>
      </c>
      <c r="R37" s="159">
        <f t="shared" si="0"/>
        <v>7.8943379885244118</v>
      </c>
      <c r="S37" s="160">
        <f t="shared" si="1"/>
        <v>46185</v>
      </c>
      <c r="T37" s="151">
        <v>36</v>
      </c>
      <c r="U37" s="159">
        <f t="shared" si="2"/>
        <v>0.87714866539160141</v>
      </c>
      <c r="V37" s="160">
        <f t="shared" si="3"/>
        <v>46185</v>
      </c>
    </row>
    <row r="38" spans="1:22" ht="15.75" customHeight="1" x14ac:dyDescent="0.2">
      <c r="A38" s="151">
        <v>37</v>
      </c>
      <c r="B38" s="151">
        <v>3745</v>
      </c>
      <c r="C38" s="152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58">
        <v>37</v>
      </c>
      <c r="R38" s="159">
        <f t="shared" si="0"/>
        <v>8.0913490623109503</v>
      </c>
      <c r="S38" s="160">
        <f t="shared" si="1"/>
        <v>46284</v>
      </c>
      <c r="T38" s="151">
        <v>37</v>
      </c>
      <c r="U38" s="159">
        <f t="shared" si="2"/>
        <v>0.89903878470121656</v>
      </c>
      <c r="V38" s="160">
        <f t="shared" si="3"/>
        <v>46284</v>
      </c>
    </row>
    <row r="39" spans="1:22" ht="15.75" customHeight="1" x14ac:dyDescent="0.2">
      <c r="A39" s="151">
        <v>38</v>
      </c>
      <c r="B39" s="151">
        <v>3844</v>
      </c>
      <c r="C39" s="152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58">
        <v>38</v>
      </c>
      <c r="R39" s="159">
        <f t="shared" si="0"/>
        <v>8.2875191341655352</v>
      </c>
      <c r="S39" s="160">
        <f t="shared" si="1"/>
        <v>46383</v>
      </c>
      <c r="T39" s="151">
        <v>38</v>
      </c>
      <c r="U39" s="159">
        <f t="shared" si="2"/>
        <v>0.92083545935172595</v>
      </c>
      <c r="V39" s="160">
        <f t="shared" si="3"/>
        <v>46383</v>
      </c>
    </row>
    <row r="40" spans="1:22" ht="15.75" customHeight="1" x14ac:dyDescent="0.2">
      <c r="A40" s="151">
        <v>39</v>
      </c>
      <c r="B40" s="151">
        <v>3944</v>
      </c>
      <c r="C40" s="152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58">
        <v>39</v>
      </c>
      <c r="R40" s="159">
        <f t="shared" si="0"/>
        <v>8.4848224081922421</v>
      </c>
      <c r="S40" s="160">
        <f t="shared" si="1"/>
        <v>46483</v>
      </c>
      <c r="T40" s="151">
        <v>39</v>
      </c>
      <c r="U40" s="159">
        <f t="shared" si="2"/>
        <v>0.94275804535469354</v>
      </c>
      <c r="V40" s="160">
        <f t="shared" si="3"/>
        <v>46483</v>
      </c>
    </row>
    <row r="41" spans="1:22" ht="15.75" customHeight="1" x14ac:dyDescent="0.2">
      <c r="A41" s="151">
        <v>40</v>
      </c>
      <c r="B41" s="151">
        <v>4044</v>
      </c>
      <c r="C41" s="152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58">
        <v>40</v>
      </c>
      <c r="R41" s="159">
        <f t="shared" si="0"/>
        <v>8.6812785780220256</v>
      </c>
      <c r="S41" s="160">
        <f t="shared" si="1"/>
        <v>46583</v>
      </c>
      <c r="T41" s="151">
        <v>40</v>
      </c>
      <c r="U41" s="159">
        <f t="shared" si="2"/>
        <v>0.96458650866911388</v>
      </c>
      <c r="V41" s="160">
        <f t="shared" si="3"/>
        <v>46583</v>
      </c>
    </row>
    <row r="42" spans="1:22" ht="15.75" customHeight="1" x14ac:dyDescent="0.2">
      <c r="A42" s="151">
        <v>41</v>
      </c>
      <c r="B42" s="151">
        <v>4144</v>
      </c>
      <c r="C42" s="152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58">
        <v>41</v>
      </c>
      <c r="R42" s="159">
        <f t="shared" si="0"/>
        <v>8.8768930874194041</v>
      </c>
      <c r="S42" s="160">
        <f t="shared" si="1"/>
        <v>46683</v>
      </c>
      <c r="T42" s="151">
        <v>41</v>
      </c>
      <c r="U42" s="159">
        <f t="shared" si="2"/>
        <v>0.98632145415771155</v>
      </c>
      <c r="V42" s="160">
        <f t="shared" si="3"/>
        <v>46683</v>
      </c>
    </row>
    <row r="43" spans="1:22" ht="15.75" customHeight="1" x14ac:dyDescent="0.2">
      <c r="A43" s="151">
        <v>42</v>
      </c>
      <c r="B43" s="151">
        <v>4244</v>
      </c>
      <c r="C43" s="152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58">
        <v>42</v>
      </c>
      <c r="R43" s="159">
        <f t="shared" si="0"/>
        <v>9.0716713336040868</v>
      </c>
      <c r="S43" s="160">
        <f t="shared" si="1"/>
        <v>46783</v>
      </c>
      <c r="T43" s="151">
        <v>42</v>
      </c>
      <c r="U43" s="159">
        <f t="shared" si="2"/>
        <v>1.0079634815115652</v>
      </c>
      <c r="V43" s="160">
        <f t="shared" si="3"/>
        <v>46783</v>
      </c>
    </row>
    <row r="44" spans="1:22" ht="15.75" customHeight="1" x14ac:dyDescent="0.2">
      <c r="A44" s="151">
        <v>43</v>
      </c>
      <c r="B44" s="151">
        <v>4345</v>
      </c>
      <c r="C44" s="152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58">
        <v>43</v>
      </c>
      <c r="R44" s="159">
        <f t="shared" si="0"/>
        <v>9.2675539629724426</v>
      </c>
      <c r="S44" s="160">
        <f t="shared" si="1"/>
        <v>46884</v>
      </c>
      <c r="T44" s="151">
        <v>43</v>
      </c>
      <c r="U44" s="159">
        <f t="shared" si="2"/>
        <v>1.0297282181080492</v>
      </c>
      <c r="V44" s="160">
        <f t="shared" si="3"/>
        <v>46884</v>
      </c>
    </row>
    <row r="45" spans="1:22" ht="15.75" customHeight="1" x14ac:dyDescent="0.2">
      <c r="A45" s="151">
        <v>44</v>
      </c>
      <c r="B45" s="151">
        <v>4446</v>
      </c>
      <c r="C45" s="152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58">
        <v>44</v>
      </c>
      <c r="R45" s="159">
        <f t="shared" si="0"/>
        <v>9.4625944450356485</v>
      </c>
      <c r="S45" s="160">
        <f t="shared" si="1"/>
        <v>46985</v>
      </c>
      <c r="T45" s="151">
        <v>44</v>
      </c>
      <c r="U45" s="159">
        <f t="shared" si="2"/>
        <v>1.0513993827817389</v>
      </c>
      <c r="V45" s="160">
        <f t="shared" si="3"/>
        <v>46985</v>
      </c>
    </row>
    <row r="46" spans="1:22" ht="15.75" customHeight="1" x14ac:dyDescent="0.2">
      <c r="A46" s="151">
        <v>45</v>
      </c>
      <c r="B46" s="151">
        <v>4547</v>
      </c>
      <c r="C46" s="152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58">
        <v>45</v>
      </c>
      <c r="R46" s="159">
        <f t="shared" si="0"/>
        <v>9.6567981990400558</v>
      </c>
      <c r="S46" s="160">
        <f t="shared" si="1"/>
        <v>47086</v>
      </c>
      <c r="T46" s="151">
        <v>45</v>
      </c>
      <c r="U46" s="159">
        <f t="shared" si="2"/>
        <v>1.0729775776711172</v>
      </c>
      <c r="V46" s="160">
        <f t="shared" si="3"/>
        <v>47086</v>
      </c>
    </row>
    <row r="47" spans="1:22" ht="15.75" customHeight="1" x14ac:dyDescent="0.2">
      <c r="A47" s="151">
        <v>46</v>
      </c>
      <c r="B47" s="151">
        <v>4649</v>
      </c>
      <c r="C47" s="152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58">
        <v>46</v>
      </c>
      <c r="R47" s="159">
        <f t="shared" si="0"/>
        <v>9.8520810375519208</v>
      </c>
      <c r="S47" s="160">
        <f t="shared" si="1"/>
        <v>47188</v>
      </c>
      <c r="T47" s="151">
        <v>46</v>
      </c>
      <c r="U47" s="159">
        <f t="shared" si="2"/>
        <v>1.0946756708391021</v>
      </c>
      <c r="V47" s="160">
        <f t="shared" si="3"/>
        <v>47188</v>
      </c>
    </row>
    <row r="48" spans="1:22" ht="15.75" customHeight="1" x14ac:dyDescent="0.2">
      <c r="A48" s="151">
        <v>47</v>
      </c>
      <c r="B48" s="151">
        <v>4750</v>
      </c>
      <c r="C48" s="152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58">
        <v>47</v>
      </c>
      <c r="R48" s="159">
        <f t="shared" si="0"/>
        <v>10.044619256063777</v>
      </c>
      <c r="S48" s="160">
        <f t="shared" si="1"/>
        <v>47289</v>
      </c>
      <c r="T48" s="151">
        <v>47</v>
      </c>
      <c r="U48" s="159">
        <f t="shared" si="2"/>
        <v>1.1160688062293087</v>
      </c>
      <c r="V48" s="160">
        <f t="shared" si="3"/>
        <v>47289</v>
      </c>
    </row>
    <row r="49" spans="1:22" ht="15.75" customHeight="1" x14ac:dyDescent="0.2">
      <c r="A49" s="151">
        <v>48</v>
      </c>
      <c r="B49" s="151">
        <v>4852</v>
      </c>
      <c r="C49" s="152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58">
        <v>48</v>
      </c>
      <c r="R49" s="159">
        <f t="shared" si="0"/>
        <v>10.238230887721297</v>
      </c>
      <c r="S49" s="160">
        <f t="shared" si="1"/>
        <v>47391</v>
      </c>
      <c r="T49" s="151">
        <v>48</v>
      </c>
      <c r="U49" s="159">
        <f t="shared" si="2"/>
        <v>1.1375812097468108</v>
      </c>
      <c r="V49" s="160">
        <f t="shared" si="3"/>
        <v>47391</v>
      </c>
    </row>
    <row r="50" spans="1:22" ht="15.75" customHeight="1" x14ac:dyDescent="0.2">
      <c r="A50" s="151">
        <v>49</v>
      </c>
      <c r="B50" s="151">
        <v>4955</v>
      </c>
      <c r="C50" s="152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58">
        <v>49</v>
      </c>
      <c r="R50" s="159">
        <f t="shared" si="0"/>
        <v>10.432896786962562</v>
      </c>
      <c r="S50" s="160">
        <f t="shared" si="1"/>
        <v>47494</v>
      </c>
      <c r="T50" s="151">
        <v>49</v>
      </c>
      <c r="U50" s="159">
        <f t="shared" si="2"/>
        <v>1.1592107541069514</v>
      </c>
      <c r="V50" s="160">
        <f t="shared" si="3"/>
        <v>47494</v>
      </c>
    </row>
    <row r="51" spans="1:22" ht="15.75" customHeight="1" x14ac:dyDescent="0.2">
      <c r="A51" s="151">
        <v>50</v>
      </c>
      <c r="B51" s="151">
        <v>5057</v>
      </c>
      <c r="C51" s="152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58">
        <v>50</v>
      </c>
      <c r="R51" s="159">
        <f t="shared" si="0"/>
        <v>10.624842423733087</v>
      </c>
      <c r="S51" s="160">
        <f t="shared" si="1"/>
        <v>47596</v>
      </c>
      <c r="T51" s="151">
        <v>50</v>
      </c>
      <c r="U51" s="159">
        <f t="shared" si="2"/>
        <v>1.1805380470814542</v>
      </c>
      <c r="V51" s="160">
        <f t="shared" si="3"/>
        <v>47596</v>
      </c>
    </row>
    <row r="52" spans="1:22" ht="15.75" customHeight="1" x14ac:dyDescent="0.2">
      <c r="A52" s="151">
        <v>51</v>
      </c>
      <c r="B52" s="151">
        <v>5160</v>
      </c>
      <c r="C52" s="152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58">
        <v>51</v>
      </c>
      <c r="R52" s="159">
        <f t="shared" si="0"/>
        <v>10.817836851925616</v>
      </c>
      <c r="S52" s="160">
        <f t="shared" si="1"/>
        <v>47699</v>
      </c>
      <c r="T52" s="151">
        <v>51</v>
      </c>
      <c r="U52" s="159">
        <f t="shared" si="2"/>
        <v>1.2019818724361797</v>
      </c>
      <c r="V52" s="160">
        <f t="shared" si="3"/>
        <v>47699</v>
      </c>
    </row>
    <row r="53" spans="1:22" ht="15.75" customHeight="1" x14ac:dyDescent="0.2">
      <c r="A53" s="151">
        <v>52</v>
      </c>
      <c r="B53" s="151">
        <v>5263</v>
      </c>
      <c r="C53" s="152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58">
        <v>52</v>
      </c>
      <c r="R53" s="159">
        <f t="shared" si="0"/>
        <v>11.009999581607465</v>
      </c>
      <c r="S53" s="160">
        <f t="shared" si="1"/>
        <v>47802</v>
      </c>
      <c r="T53" s="151">
        <v>52</v>
      </c>
      <c r="U53" s="159">
        <f t="shared" si="2"/>
        <v>1.223333286845274</v>
      </c>
      <c r="V53" s="160">
        <f t="shared" si="3"/>
        <v>47802</v>
      </c>
    </row>
    <row r="54" spans="1:22" ht="15.75" customHeight="1" x14ac:dyDescent="0.2">
      <c r="A54" s="151">
        <v>53</v>
      </c>
      <c r="B54" s="151">
        <v>5367</v>
      </c>
      <c r="C54" s="152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58">
        <v>53</v>
      </c>
      <c r="R54" s="159">
        <f t="shared" si="0"/>
        <v>11.203189579593371</v>
      </c>
      <c r="S54" s="160">
        <f t="shared" si="1"/>
        <v>47906</v>
      </c>
      <c r="T54" s="151">
        <v>53</v>
      </c>
      <c r="U54" s="159">
        <f t="shared" si="2"/>
        <v>1.2447988421770413</v>
      </c>
      <c r="V54" s="160">
        <f t="shared" si="3"/>
        <v>47906</v>
      </c>
    </row>
    <row r="55" spans="1:22" ht="15.75" customHeight="1" x14ac:dyDescent="0.2">
      <c r="A55" s="151">
        <v>54</v>
      </c>
      <c r="B55" s="151">
        <v>5471</v>
      </c>
      <c r="C55" s="152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58">
        <v>54</v>
      </c>
      <c r="R55" s="159">
        <f t="shared" si="0"/>
        <v>11.395542595292648</v>
      </c>
      <c r="S55" s="160">
        <f t="shared" si="1"/>
        <v>48010</v>
      </c>
      <c r="T55" s="151">
        <v>54</v>
      </c>
      <c r="U55" s="159">
        <f t="shared" si="2"/>
        <v>1.2661713994769608</v>
      </c>
      <c r="V55" s="160">
        <f t="shared" si="3"/>
        <v>48010</v>
      </c>
    </row>
    <row r="56" spans="1:22" ht="15.75" customHeight="1" x14ac:dyDescent="0.2">
      <c r="A56" s="151">
        <v>55</v>
      </c>
      <c r="B56" s="151">
        <v>5575</v>
      </c>
      <c r="C56" s="152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58">
        <v>55</v>
      </c>
      <c r="R56" s="159">
        <f t="shared" si="0"/>
        <v>11.587064056199859</v>
      </c>
      <c r="S56" s="160">
        <f t="shared" si="1"/>
        <v>48114</v>
      </c>
      <c r="T56" s="151">
        <v>55</v>
      </c>
      <c r="U56" s="159">
        <f t="shared" si="2"/>
        <v>1.2874515617999844</v>
      </c>
      <c r="V56" s="160">
        <f t="shared" si="3"/>
        <v>48114</v>
      </c>
    </row>
    <row r="57" spans="1:22" ht="15.75" customHeight="1" x14ac:dyDescent="0.2">
      <c r="A57" s="151">
        <v>56</v>
      </c>
      <c r="B57" s="151">
        <v>5679</v>
      </c>
      <c r="C57" s="152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58">
        <v>56</v>
      </c>
      <c r="R57" s="159">
        <f t="shared" si="0"/>
        <v>11.777759342983948</v>
      </c>
      <c r="S57" s="160">
        <f t="shared" si="1"/>
        <v>48218</v>
      </c>
      <c r="T57" s="151">
        <v>56</v>
      </c>
      <c r="U57" s="159">
        <f t="shared" si="2"/>
        <v>1.3086399269982163</v>
      </c>
      <c r="V57" s="160">
        <f t="shared" si="3"/>
        <v>48218</v>
      </c>
    </row>
    <row r="58" spans="1:22" ht="15.75" customHeight="1" x14ac:dyDescent="0.2">
      <c r="A58" s="151">
        <v>57</v>
      </c>
      <c r="B58" s="151">
        <v>5784</v>
      </c>
      <c r="C58" s="152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58">
        <v>57</v>
      </c>
      <c r="R58" s="159">
        <f t="shared" si="0"/>
        <v>11.969455538770358</v>
      </c>
      <c r="S58" s="160">
        <f t="shared" si="1"/>
        <v>48323</v>
      </c>
      <c r="T58" s="151">
        <v>57</v>
      </c>
      <c r="U58" s="159">
        <f t="shared" si="2"/>
        <v>1.3299395043078175</v>
      </c>
      <c r="V58" s="160">
        <f t="shared" si="3"/>
        <v>48323</v>
      </c>
    </row>
    <row r="59" spans="1:22" ht="15.75" customHeight="1" x14ac:dyDescent="0.2">
      <c r="A59" s="151">
        <v>58</v>
      </c>
      <c r="B59" s="151">
        <v>5889</v>
      </c>
      <c r="C59" s="152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58">
        <v>58</v>
      </c>
      <c r="R59" s="159">
        <f t="shared" si="0"/>
        <v>12.160320475757826</v>
      </c>
      <c r="S59" s="160">
        <f t="shared" si="1"/>
        <v>48428</v>
      </c>
      <c r="T59" s="151">
        <v>58</v>
      </c>
      <c r="U59" s="159">
        <f t="shared" si="2"/>
        <v>1.3511467195286473</v>
      </c>
      <c r="V59" s="160">
        <f t="shared" si="3"/>
        <v>48428</v>
      </c>
    </row>
    <row r="60" spans="1:22" ht="15.75" customHeight="1" x14ac:dyDescent="0.2">
      <c r="A60" s="151">
        <v>59</v>
      </c>
      <c r="B60" s="151">
        <v>5995</v>
      </c>
      <c r="C60" s="152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58">
        <v>59</v>
      </c>
      <c r="R60" s="159">
        <f t="shared" si="0"/>
        <v>12.352165492232249</v>
      </c>
      <c r="S60" s="160">
        <f t="shared" si="1"/>
        <v>48534</v>
      </c>
      <c r="T60" s="151">
        <v>59</v>
      </c>
      <c r="U60" s="159">
        <f t="shared" si="2"/>
        <v>1.3724628324702499</v>
      </c>
      <c r="V60" s="160">
        <f t="shared" si="3"/>
        <v>48534</v>
      </c>
    </row>
    <row r="61" spans="1:22" ht="15.75" customHeight="1" x14ac:dyDescent="0.2">
      <c r="A61" s="151">
        <v>60</v>
      </c>
      <c r="B61" s="151">
        <v>6101</v>
      </c>
      <c r="C61" s="152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58">
        <v>60</v>
      </c>
      <c r="R61" s="159">
        <f t="shared" si="0"/>
        <v>12.543174342105262</v>
      </c>
      <c r="S61" s="160">
        <f t="shared" si="1"/>
        <v>48640</v>
      </c>
      <c r="T61" s="151">
        <v>60</v>
      </c>
      <c r="U61" s="159">
        <f t="shared" si="2"/>
        <v>1.393686038011696</v>
      </c>
      <c r="V61" s="160">
        <f t="shared" si="3"/>
        <v>48640</v>
      </c>
    </row>
    <row r="62" spans="1:22" ht="15.75" customHeight="1" x14ac:dyDescent="0.2">
      <c r="A62" s="151">
        <v>61</v>
      </c>
      <c r="B62" s="151">
        <v>6207</v>
      </c>
      <c r="C62" s="152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58">
        <v>61</v>
      </c>
      <c r="R62" s="159">
        <f t="shared" si="0"/>
        <v>12.733352480203502</v>
      </c>
      <c r="S62" s="160">
        <f t="shared" si="1"/>
        <v>48746</v>
      </c>
      <c r="T62" s="151">
        <v>61</v>
      </c>
      <c r="U62" s="159">
        <f t="shared" si="2"/>
        <v>1.4148169422448338</v>
      </c>
      <c r="V62" s="160">
        <f t="shared" si="3"/>
        <v>48746</v>
      </c>
    </row>
    <row r="63" spans="1:22" ht="15.75" customHeight="1" x14ac:dyDescent="0.2">
      <c r="A63" s="151">
        <v>62</v>
      </c>
      <c r="B63" s="151">
        <v>6314</v>
      </c>
      <c r="C63" s="152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58">
        <v>62</v>
      </c>
      <c r="R63" s="159">
        <f t="shared" si="0"/>
        <v>12.92448774896117</v>
      </c>
      <c r="S63" s="160">
        <f t="shared" si="1"/>
        <v>48853</v>
      </c>
      <c r="T63" s="151">
        <v>62</v>
      </c>
      <c r="U63" s="159">
        <f t="shared" si="2"/>
        <v>1.4360541943290188</v>
      </c>
      <c r="V63" s="160">
        <f t="shared" si="3"/>
        <v>48853</v>
      </c>
    </row>
    <row r="64" spans="1:22" ht="15.75" customHeight="1" x14ac:dyDescent="0.2">
      <c r="A64" s="151">
        <v>63</v>
      </c>
      <c r="B64" s="151">
        <v>6421</v>
      </c>
      <c r="C64" s="152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58">
        <v>63</v>
      </c>
      <c r="R64" s="159">
        <f t="shared" si="0"/>
        <v>13.114787581699346</v>
      </c>
      <c r="S64" s="160">
        <f t="shared" si="1"/>
        <v>48960</v>
      </c>
      <c r="T64" s="151">
        <v>63</v>
      </c>
      <c r="U64" s="159">
        <f t="shared" si="2"/>
        <v>1.4571986201888163</v>
      </c>
      <c r="V64" s="160">
        <f t="shared" si="3"/>
        <v>48960</v>
      </c>
    </row>
    <row r="65" spans="1:22" ht="15.75" customHeight="1" x14ac:dyDescent="0.2">
      <c r="A65" s="151">
        <v>64</v>
      </c>
      <c r="B65" s="151">
        <v>6528</v>
      </c>
      <c r="C65" s="152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58">
        <v>64</v>
      </c>
      <c r="R65" s="159">
        <f t="shared" si="0"/>
        <v>13.304257443903234</v>
      </c>
      <c r="S65" s="160">
        <f t="shared" si="1"/>
        <v>49067</v>
      </c>
      <c r="T65" s="151">
        <v>64</v>
      </c>
      <c r="U65" s="159">
        <f t="shared" si="2"/>
        <v>1.4782508271003594</v>
      </c>
      <c r="V65" s="160">
        <f t="shared" si="3"/>
        <v>49067</v>
      </c>
    </row>
    <row r="66" spans="1:22" ht="15.75" customHeight="1" x14ac:dyDescent="0.2">
      <c r="A66" s="151">
        <v>65</v>
      </c>
      <c r="B66" s="151">
        <v>6636</v>
      </c>
      <c r="C66" s="152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58">
        <v>65</v>
      </c>
      <c r="R66" s="159">
        <f t="shared" si="0"/>
        <v>13.494661921708184</v>
      </c>
      <c r="S66" s="160">
        <f t="shared" si="1"/>
        <v>49175</v>
      </c>
      <c r="T66" s="151">
        <v>65</v>
      </c>
      <c r="U66" s="159">
        <f t="shared" si="2"/>
        <v>1.4994068801897984</v>
      </c>
      <c r="V66" s="160">
        <f t="shared" si="3"/>
        <v>49175</v>
      </c>
    </row>
    <row r="67" spans="1:22" ht="15.75" customHeight="1" x14ac:dyDescent="0.2">
      <c r="A67" s="151">
        <v>66</v>
      </c>
      <c r="B67" s="151">
        <v>6744</v>
      </c>
      <c r="C67" s="152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58">
        <v>66</v>
      </c>
      <c r="R67" s="159">
        <f t="shared" si="0"/>
        <v>13.68423188523426</v>
      </c>
      <c r="S67" s="160">
        <f t="shared" si="1"/>
        <v>49283</v>
      </c>
      <c r="T67" s="151">
        <v>66</v>
      </c>
      <c r="U67" s="159">
        <f t="shared" si="2"/>
        <v>1.5204702094704734</v>
      </c>
      <c r="V67" s="160">
        <f t="shared" si="3"/>
        <v>49283</v>
      </c>
    </row>
    <row r="68" spans="1:22" ht="15.75" customHeight="1" x14ac:dyDescent="0.2">
      <c r="A68" s="151">
        <v>67</v>
      </c>
      <c r="B68" s="151">
        <v>6853</v>
      </c>
      <c r="C68" s="152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58">
        <v>67</v>
      </c>
      <c r="R68" s="159">
        <f t="shared" si="0"/>
        <v>13.874716553287984</v>
      </c>
      <c r="S68" s="160">
        <f t="shared" si="1"/>
        <v>49392</v>
      </c>
      <c r="T68" s="151">
        <v>67</v>
      </c>
      <c r="U68" s="159">
        <f t="shared" si="2"/>
        <v>1.5416351725875534</v>
      </c>
      <c r="V68" s="160">
        <f t="shared" si="3"/>
        <v>49392</v>
      </c>
    </row>
    <row r="69" spans="1:22" ht="15.75" customHeight="1" x14ac:dyDescent="0.2">
      <c r="A69" s="151">
        <v>68</v>
      </c>
      <c r="B69" s="151">
        <v>6962</v>
      </c>
      <c r="C69" s="152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58">
        <v>68</v>
      </c>
      <c r="R69" s="159">
        <f t="shared" si="0"/>
        <v>14.064362336114423</v>
      </c>
      <c r="S69" s="160">
        <f t="shared" si="1"/>
        <v>49501</v>
      </c>
      <c r="T69" s="151">
        <v>68</v>
      </c>
      <c r="U69" s="159">
        <f t="shared" si="2"/>
        <v>1.5627069262349358</v>
      </c>
      <c r="V69" s="160">
        <f t="shared" si="3"/>
        <v>49501</v>
      </c>
    </row>
    <row r="70" spans="1:22" ht="15.75" customHeight="1" x14ac:dyDescent="0.2">
      <c r="A70" s="151">
        <v>69</v>
      </c>
      <c r="B70" s="151">
        <v>7071</v>
      </c>
      <c r="C70" s="152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58">
        <v>69</v>
      </c>
      <c r="R70" s="159">
        <f t="shared" si="0"/>
        <v>14.25317476315259</v>
      </c>
      <c r="S70" s="160">
        <f t="shared" si="1"/>
        <v>49610</v>
      </c>
      <c r="T70" s="151">
        <v>69</v>
      </c>
      <c r="U70" s="159">
        <f t="shared" si="2"/>
        <v>1.5836860847947321</v>
      </c>
      <c r="V70" s="160">
        <f t="shared" si="3"/>
        <v>49610</v>
      </c>
    </row>
    <row r="71" spans="1:22" ht="15.75" customHeight="1" x14ac:dyDescent="0.2">
      <c r="A71" s="151">
        <v>70</v>
      </c>
      <c r="B71" s="151">
        <v>7181</v>
      </c>
      <c r="C71" s="152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58">
        <v>70</v>
      </c>
      <c r="R71" s="159">
        <f t="shared" si="0"/>
        <v>14.442880128720837</v>
      </c>
      <c r="S71" s="160">
        <f t="shared" si="1"/>
        <v>49720</v>
      </c>
      <c r="T71" s="151">
        <v>70</v>
      </c>
      <c r="U71" s="159">
        <f t="shared" si="2"/>
        <v>1.6047644587467595</v>
      </c>
      <c r="V71" s="160">
        <f t="shared" si="3"/>
        <v>49720</v>
      </c>
    </row>
    <row r="72" spans="1:22" ht="15.75" customHeight="1" x14ac:dyDescent="0.2">
      <c r="A72" s="151">
        <v>71</v>
      </c>
      <c r="B72" s="151">
        <v>7292</v>
      </c>
      <c r="C72" s="152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58">
        <v>71</v>
      </c>
      <c r="R72" s="159">
        <f t="shared" si="0"/>
        <v>14.633461098512972</v>
      </c>
      <c r="S72" s="160">
        <f t="shared" si="1"/>
        <v>49831</v>
      </c>
      <c r="T72" s="151">
        <v>71</v>
      </c>
      <c r="U72" s="159">
        <f t="shared" si="2"/>
        <v>1.6259401220569969</v>
      </c>
      <c r="V72" s="160">
        <f t="shared" si="3"/>
        <v>49831</v>
      </c>
    </row>
    <row r="73" spans="1:22" ht="15.75" customHeight="1" x14ac:dyDescent="0.2">
      <c r="A73" s="151">
        <v>72</v>
      </c>
      <c r="B73" s="151">
        <v>7402</v>
      </c>
      <c r="C73" s="152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58">
        <v>72</v>
      </c>
      <c r="R73" s="159">
        <f t="shared" si="0"/>
        <v>14.821489357441781</v>
      </c>
      <c r="S73" s="160">
        <f t="shared" si="1"/>
        <v>49941</v>
      </c>
      <c r="T73" s="151">
        <v>72</v>
      </c>
      <c r="U73" s="159">
        <f t="shared" si="2"/>
        <v>1.6468321508268646</v>
      </c>
      <c r="V73" s="160">
        <f t="shared" si="3"/>
        <v>49941</v>
      </c>
    </row>
    <row r="74" spans="1:22" ht="15.75" customHeight="1" x14ac:dyDescent="0.2">
      <c r="A74" s="151">
        <v>73</v>
      </c>
      <c r="B74" s="151">
        <v>7514</v>
      </c>
      <c r="C74" s="152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58">
        <v>73</v>
      </c>
      <c r="R74" s="159">
        <f t="shared" si="0"/>
        <v>15.012087187581164</v>
      </c>
      <c r="S74" s="160">
        <f t="shared" si="1"/>
        <v>50053</v>
      </c>
      <c r="T74" s="151">
        <v>73</v>
      </c>
      <c r="U74" s="159">
        <f t="shared" si="2"/>
        <v>1.6680096875090182</v>
      </c>
      <c r="V74" s="160">
        <f t="shared" si="3"/>
        <v>50053</v>
      </c>
    </row>
    <row r="75" spans="1:22" ht="15.75" customHeight="1" x14ac:dyDescent="0.2">
      <c r="A75" s="151">
        <v>74</v>
      </c>
      <c r="B75" s="151">
        <v>7625</v>
      </c>
      <c r="C75" s="152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58">
        <v>74</v>
      </c>
      <c r="R75" s="159">
        <f t="shared" si="0"/>
        <v>15.200143529224144</v>
      </c>
      <c r="S75" s="160">
        <f t="shared" si="1"/>
        <v>50164</v>
      </c>
      <c r="T75" s="151">
        <v>74</v>
      </c>
      <c r="U75" s="159">
        <f t="shared" si="2"/>
        <v>1.6889048365804606</v>
      </c>
      <c r="V75" s="160">
        <f t="shared" si="3"/>
        <v>50164</v>
      </c>
    </row>
    <row r="76" spans="1:22" ht="15.75" customHeight="1" x14ac:dyDescent="0.2">
      <c r="A76" s="151">
        <v>75</v>
      </c>
      <c r="B76" s="151">
        <v>7738</v>
      </c>
      <c r="C76" s="152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58">
        <v>75</v>
      </c>
      <c r="R76" s="159">
        <f t="shared" si="0"/>
        <v>15.39073532629234</v>
      </c>
      <c r="S76" s="160">
        <f t="shared" si="1"/>
        <v>50277</v>
      </c>
      <c r="T76" s="151">
        <v>75</v>
      </c>
      <c r="U76" s="159">
        <f t="shared" si="2"/>
        <v>1.7100817029213713</v>
      </c>
      <c r="V76" s="160">
        <f t="shared" si="3"/>
        <v>50277</v>
      </c>
    </row>
    <row r="77" spans="1:22" ht="15.75" customHeight="1" x14ac:dyDescent="0.2">
      <c r="A77" s="151">
        <v>76</v>
      </c>
      <c r="B77" s="151">
        <v>7850</v>
      </c>
      <c r="C77" s="152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58">
        <v>76</v>
      </c>
      <c r="R77" s="159">
        <f t="shared" si="0"/>
        <v>15.578796959653893</v>
      </c>
      <c r="S77" s="160">
        <f t="shared" si="1"/>
        <v>50389</v>
      </c>
      <c r="T77" s="151">
        <v>76</v>
      </c>
      <c r="U77" s="159">
        <f t="shared" si="2"/>
        <v>1.7309774399615434</v>
      </c>
      <c r="V77" s="160">
        <f t="shared" si="3"/>
        <v>50389</v>
      </c>
    </row>
    <row r="78" spans="1:22" ht="15.75" customHeight="1" x14ac:dyDescent="0.2">
      <c r="A78" s="151">
        <v>77</v>
      </c>
      <c r="B78" s="151">
        <v>7964</v>
      </c>
      <c r="C78" s="152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58">
        <v>77</v>
      </c>
      <c r="R78" s="159">
        <f t="shared" si="0"/>
        <v>15.769360236025582</v>
      </c>
      <c r="S78" s="160">
        <f t="shared" si="1"/>
        <v>50503</v>
      </c>
      <c r="T78" s="151">
        <v>77</v>
      </c>
      <c r="U78" s="159">
        <f t="shared" si="2"/>
        <v>1.7521511373361758</v>
      </c>
      <c r="V78" s="160">
        <f t="shared" si="3"/>
        <v>50503</v>
      </c>
    </row>
    <row r="79" spans="1:22" ht="15.75" customHeight="1" x14ac:dyDescent="0.2">
      <c r="A79" s="151">
        <v>78</v>
      </c>
      <c r="B79" s="151">
        <v>8077</v>
      </c>
      <c r="C79" s="152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58">
        <v>78</v>
      </c>
      <c r="R79" s="159">
        <f t="shared" si="0"/>
        <v>15.957404773194247</v>
      </c>
      <c r="S79" s="160">
        <f t="shared" si="1"/>
        <v>50616</v>
      </c>
      <c r="T79" s="151">
        <v>78</v>
      </c>
      <c r="U79" s="159">
        <f t="shared" si="2"/>
        <v>1.7730449747993606</v>
      </c>
      <c r="V79" s="160">
        <f t="shared" si="3"/>
        <v>50616</v>
      </c>
    </row>
    <row r="80" spans="1:22" ht="15.75" customHeight="1" x14ac:dyDescent="0.2">
      <c r="A80" s="151">
        <v>79</v>
      </c>
      <c r="B80" s="151">
        <v>8192</v>
      </c>
      <c r="C80" s="152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58">
        <v>79</v>
      </c>
      <c r="R80" s="159">
        <f t="shared" si="0"/>
        <v>16.147917446925945</v>
      </c>
      <c r="S80" s="160">
        <f t="shared" si="1"/>
        <v>50731</v>
      </c>
      <c r="T80" s="151">
        <v>79</v>
      </c>
      <c r="U80" s="159">
        <f t="shared" si="2"/>
        <v>1.7942130496584379</v>
      </c>
      <c r="V80" s="160">
        <f t="shared" si="3"/>
        <v>50731</v>
      </c>
    </row>
    <row r="81" spans="1:22" ht="15.75" customHeight="1" x14ac:dyDescent="0.2">
      <c r="A81" s="151">
        <v>80</v>
      </c>
      <c r="B81" s="151">
        <v>8307</v>
      </c>
      <c r="C81" s="152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58">
        <v>80</v>
      </c>
      <c r="R81" s="159">
        <f t="shared" si="0"/>
        <v>16.337568343625851</v>
      </c>
      <c r="S81" s="160">
        <f t="shared" si="1"/>
        <v>50846</v>
      </c>
      <c r="T81" s="151">
        <v>80</v>
      </c>
      <c r="U81" s="159">
        <f t="shared" si="2"/>
        <v>1.8152853715139834</v>
      </c>
      <c r="V81" s="160">
        <f t="shared" si="3"/>
        <v>50846</v>
      </c>
    </row>
    <row r="82" spans="1:22" ht="15.75" customHeight="1" x14ac:dyDescent="0.2">
      <c r="A82" s="151">
        <v>81</v>
      </c>
      <c r="B82" s="151">
        <v>8422</v>
      </c>
      <c r="C82" s="152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58">
        <v>81</v>
      </c>
      <c r="R82" s="159">
        <f t="shared" si="0"/>
        <v>16.526363297423519</v>
      </c>
      <c r="S82" s="160">
        <f t="shared" si="1"/>
        <v>50961</v>
      </c>
      <c r="T82" s="151">
        <v>81</v>
      </c>
      <c r="U82" s="159">
        <f t="shared" si="2"/>
        <v>1.8362625886026134</v>
      </c>
      <c r="V82" s="160">
        <f t="shared" si="3"/>
        <v>50961</v>
      </c>
    </row>
    <row r="83" spans="1:22" ht="15.75" customHeight="1" x14ac:dyDescent="0.2">
      <c r="A83" s="151">
        <v>82</v>
      </c>
      <c r="B83" s="151">
        <v>8538</v>
      </c>
      <c r="C83" s="152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58">
        <v>82</v>
      </c>
      <c r="R83" s="159">
        <f t="shared" si="0"/>
        <v>16.715938680815238</v>
      </c>
      <c r="S83" s="160">
        <f t="shared" si="1"/>
        <v>51077</v>
      </c>
      <c r="T83" s="151">
        <v>82</v>
      </c>
      <c r="U83" s="159">
        <f t="shared" si="2"/>
        <v>1.8573265200905822</v>
      </c>
      <c r="V83" s="160">
        <f t="shared" si="3"/>
        <v>51077</v>
      </c>
    </row>
    <row r="84" spans="1:22" ht="15.75" customHeight="1" x14ac:dyDescent="0.2">
      <c r="A84" s="151">
        <v>83</v>
      </c>
      <c r="B84" s="151">
        <v>8654</v>
      </c>
      <c r="C84" s="152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58">
        <v>83</v>
      </c>
      <c r="R84" s="159">
        <f t="shared" si="0"/>
        <v>16.90465493329166</v>
      </c>
      <c r="S84" s="160">
        <f t="shared" si="1"/>
        <v>51193</v>
      </c>
      <c r="T84" s="151">
        <v>83</v>
      </c>
      <c r="U84" s="159">
        <f t="shared" si="2"/>
        <v>1.8782949925879624</v>
      </c>
      <c r="V84" s="160">
        <f t="shared" si="3"/>
        <v>51193</v>
      </c>
    </row>
    <row r="85" spans="1:22" ht="15.75" customHeight="1" x14ac:dyDescent="0.2">
      <c r="A85" s="151">
        <v>84</v>
      </c>
      <c r="B85" s="151">
        <v>8772</v>
      </c>
      <c r="C85" s="152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58">
        <v>84</v>
      </c>
      <c r="R85" s="159">
        <f t="shared" si="0"/>
        <v>17.095749449435793</v>
      </c>
      <c r="S85" s="160">
        <f t="shared" si="1"/>
        <v>51311</v>
      </c>
      <c r="T85" s="151">
        <v>84</v>
      </c>
      <c r="U85" s="159">
        <f t="shared" si="2"/>
        <v>1.899527716603977</v>
      </c>
      <c r="V85" s="160">
        <f t="shared" si="3"/>
        <v>51311</v>
      </c>
    </row>
    <row r="86" spans="1:22" ht="15.75" customHeight="1" x14ac:dyDescent="0.2">
      <c r="A86" s="151">
        <v>85</v>
      </c>
      <c r="B86" s="151">
        <v>8889</v>
      </c>
      <c r="C86" s="152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58">
        <v>85</v>
      </c>
      <c r="R86" s="159">
        <f t="shared" si="0"/>
        <v>17.284358715096833</v>
      </c>
      <c r="S86" s="160">
        <f t="shared" si="1"/>
        <v>51428</v>
      </c>
      <c r="T86" s="151">
        <v>85</v>
      </c>
      <c r="U86" s="159">
        <f t="shared" si="2"/>
        <v>1.9204843016774258</v>
      </c>
      <c r="V86" s="160">
        <f t="shared" si="3"/>
        <v>51428</v>
      </c>
    </row>
    <row r="87" spans="1:22" ht="15.75" customHeight="1" x14ac:dyDescent="0.2">
      <c r="A87" s="151">
        <v>86</v>
      </c>
      <c r="B87" s="151">
        <v>9008</v>
      </c>
      <c r="C87" s="152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58">
        <v>86</v>
      </c>
      <c r="R87" s="159">
        <f t="shared" si="0"/>
        <v>17.47531379129726</v>
      </c>
      <c r="S87" s="160">
        <f t="shared" si="1"/>
        <v>51547</v>
      </c>
      <c r="T87" s="151">
        <v>86</v>
      </c>
      <c r="U87" s="159">
        <f t="shared" si="2"/>
        <v>1.9417015323663627</v>
      </c>
      <c r="V87" s="160">
        <f t="shared" si="3"/>
        <v>51547</v>
      </c>
    </row>
    <row r="88" spans="1:22" ht="15.75" customHeight="1" x14ac:dyDescent="0.2">
      <c r="A88" s="151">
        <v>87</v>
      </c>
      <c r="B88" s="151">
        <v>9126</v>
      </c>
      <c r="C88" s="152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58">
        <v>87</v>
      </c>
      <c r="R88" s="159">
        <f t="shared" si="0"/>
        <v>17.663795606309883</v>
      </c>
      <c r="S88" s="160">
        <f t="shared" si="1"/>
        <v>51665</v>
      </c>
      <c r="T88" s="151">
        <v>87</v>
      </c>
      <c r="U88" s="159">
        <f t="shared" si="2"/>
        <v>1.9626439562566533</v>
      </c>
      <c r="V88" s="160">
        <f t="shared" si="3"/>
        <v>51665</v>
      </c>
    </row>
    <row r="89" spans="1:22" ht="15.75" customHeight="1" x14ac:dyDescent="0.2">
      <c r="A89" s="151">
        <v>88</v>
      </c>
      <c r="B89" s="151">
        <v>9246</v>
      </c>
      <c r="C89" s="152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58">
        <v>88</v>
      </c>
      <c r="R89" s="159">
        <f t="shared" si="0"/>
        <v>17.854591097808246</v>
      </c>
      <c r="S89" s="160">
        <f t="shared" si="1"/>
        <v>51785</v>
      </c>
      <c r="T89" s="151">
        <v>88</v>
      </c>
      <c r="U89" s="159">
        <f t="shared" si="2"/>
        <v>1.983843455312027</v>
      </c>
      <c r="V89" s="160">
        <f t="shared" si="3"/>
        <v>51785</v>
      </c>
    </row>
    <row r="90" spans="1:22" ht="15.75" customHeight="1" x14ac:dyDescent="0.2">
      <c r="A90" s="151">
        <v>89</v>
      </c>
      <c r="B90" s="151">
        <v>9366</v>
      </c>
      <c r="C90" s="152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58">
        <v>89</v>
      </c>
      <c r="R90" s="159">
        <f t="shared" si="0"/>
        <v>18.044504383007418</v>
      </c>
      <c r="S90" s="160">
        <f t="shared" si="1"/>
        <v>51905</v>
      </c>
      <c r="T90" s="151">
        <v>89</v>
      </c>
      <c r="U90" s="159">
        <f t="shared" si="2"/>
        <v>2.0049449314452685</v>
      </c>
      <c r="V90" s="160">
        <f t="shared" si="3"/>
        <v>51905</v>
      </c>
    </row>
    <row r="91" spans="1:22" ht="15.75" customHeight="1" x14ac:dyDescent="0.2">
      <c r="A91" s="151">
        <v>90</v>
      </c>
      <c r="B91" s="151">
        <v>9487</v>
      </c>
      <c r="C91" s="152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58">
        <v>90</v>
      </c>
      <c r="R91" s="159">
        <f t="shared" si="0"/>
        <v>18.235113212624459</v>
      </c>
      <c r="S91" s="160">
        <f t="shared" si="1"/>
        <v>52026</v>
      </c>
      <c r="T91" s="151">
        <v>90</v>
      </c>
      <c r="U91" s="159">
        <f t="shared" si="2"/>
        <v>2.0261236902916062</v>
      </c>
      <c r="V91" s="160">
        <f t="shared" si="3"/>
        <v>52026</v>
      </c>
    </row>
    <row r="92" spans="1:22" ht="15.75" customHeight="1" x14ac:dyDescent="0.2">
      <c r="A92" s="151">
        <v>91</v>
      </c>
      <c r="B92" s="151">
        <v>9608</v>
      </c>
      <c r="C92" s="152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58">
        <v>91</v>
      </c>
      <c r="R92" s="159">
        <f t="shared" si="0"/>
        <v>18.424837478666078</v>
      </c>
      <c r="S92" s="160">
        <f t="shared" si="1"/>
        <v>52147</v>
      </c>
      <c r="T92" s="151">
        <v>91</v>
      </c>
      <c r="U92" s="159">
        <f t="shared" si="2"/>
        <v>2.0472041642962311</v>
      </c>
      <c r="V92" s="160">
        <f t="shared" si="3"/>
        <v>52147</v>
      </c>
    </row>
    <row r="93" spans="1:22" ht="15.75" customHeight="1" x14ac:dyDescent="0.2">
      <c r="A93" s="151">
        <v>92</v>
      </c>
      <c r="B93" s="151">
        <v>9731</v>
      </c>
      <c r="C93" s="152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58">
        <v>92</v>
      </c>
      <c r="R93" s="159">
        <f t="shared" si="0"/>
        <v>18.616797398125122</v>
      </c>
      <c r="S93" s="160">
        <f t="shared" si="1"/>
        <v>52270</v>
      </c>
      <c r="T93" s="151">
        <v>92</v>
      </c>
      <c r="U93" s="159">
        <f t="shared" si="2"/>
        <v>2.0685330442361245</v>
      </c>
      <c r="V93" s="160">
        <f t="shared" si="3"/>
        <v>52270</v>
      </c>
    </row>
    <row r="94" spans="1:22" ht="15.75" customHeight="1" x14ac:dyDescent="0.2">
      <c r="A94" s="151">
        <v>93</v>
      </c>
      <c r="B94" s="151">
        <v>9853</v>
      </c>
      <c r="C94" s="152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58">
        <v>93</v>
      </c>
      <c r="R94" s="159">
        <f t="shared" si="0"/>
        <v>18.806306306306304</v>
      </c>
      <c r="S94" s="160">
        <f t="shared" si="1"/>
        <v>52392</v>
      </c>
      <c r="T94" s="151">
        <v>93</v>
      </c>
      <c r="U94" s="159">
        <f t="shared" si="2"/>
        <v>2.0895895895895897</v>
      </c>
      <c r="V94" s="160">
        <f t="shared" si="3"/>
        <v>52392</v>
      </c>
    </row>
    <row r="95" spans="1:22" ht="15.75" customHeight="1" x14ac:dyDescent="0.2">
      <c r="A95" s="151">
        <v>94</v>
      </c>
      <c r="B95" s="151">
        <v>9977</v>
      </c>
      <c r="C95" s="152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58">
        <v>94</v>
      </c>
      <c r="R95" s="159">
        <f t="shared" si="0"/>
        <v>18.998019651153932</v>
      </c>
      <c r="S95" s="160">
        <f t="shared" si="1"/>
        <v>52516</v>
      </c>
      <c r="T95" s="151">
        <v>94</v>
      </c>
      <c r="U95" s="159">
        <f t="shared" si="2"/>
        <v>2.1108910723504373</v>
      </c>
      <c r="V95" s="160">
        <f t="shared" si="3"/>
        <v>52516</v>
      </c>
    </row>
    <row r="96" spans="1:22" ht="15.75" customHeight="1" x14ac:dyDescent="0.2">
      <c r="A96" s="151">
        <v>95</v>
      </c>
      <c r="B96" s="151">
        <v>10101</v>
      </c>
      <c r="C96" s="152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58">
        <v>95</v>
      </c>
      <c r="R96" s="159">
        <f t="shared" si="0"/>
        <v>19.188829787234045</v>
      </c>
      <c r="S96" s="160">
        <f t="shared" si="1"/>
        <v>52640</v>
      </c>
      <c r="T96" s="151">
        <v>95</v>
      </c>
      <c r="U96" s="159">
        <f t="shared" si="2"/>
        <v>2.1320921985815602</v>
      </c>
      <c r="V96" s="160">
        <f t="shared" si="3"/>
        <v>52640</v>
      </c>
    </row>
    <row r="97" spans="1:22" ht="15.75" customHeight="1" x14ac:dyDescent="0.2">
      <c r="A97" s="151">
        <v>96</v>
      </c>
      <c r="B97" s="151">
        <v>10226</v>
      </c>
      <c r="C97" s="152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58">
        <v>96</v>
      </c>
      <c r="R97" s="159">
        <f t="shared" si="0"/>
        <v>19.380271012982089</v>
      </c>
      <c r="S97" s="160">
        <f t="shared" si="1"/>
        <v>52765</v>
      </c>
      <c r="T97" s="151">
        <v>96</v>
      </c>
      <c r="U97" s="159">
        <f t="shared" si="2"/>
        <v>2.1533634458868987</v>
      </c>
      <c r="V97" s="160">
        <f t="shared" si="3"/>
        <v>52765</v>
      </c>
    </row>
    <row r="98" spans="1:22" ht="15.75" customHeight="1" x14ac:dyDescent="0.2">
      <c r="A98" s="151">
        <v>97</v>
      </c>
      <c r="B98" s="151">
        <v>10352</v>
      </c>
      <c r="C98" s="152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58">
        <v>97</v>
      </c>
      <c r="R98" s="159">
        <f t="shared" si="0"/>
        <v>19.572327995311113</v>
      </c>
      <c r="S98" s="160">
        <f t="shared" si="1"/>
        <v>52891</v>
      </c>
      <c r="T98" s="151">
        <v>97</v>
      </c>
      <c r="U98" s="159">
        <f t="shared" si="2"/>
        <v>2.1747031105901238</v>
      </c>
      <c r="V98" s="160">
        <f t="shared" si="3"/>
        <v>52891</v>
      </c>
    </row>
    <row r="99" spans="1:22" ht="15.75" customHeight="1" x14ac:dyDescent="0.2">
      <c r="A99" s="151">
        <v>98</v>
      </c>
      <c r="B99" s="151">
        <v>10479</v>
      </c>
      <c r="C99" s="152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58">
        <v>98</v>
      </c>
      <c r="R99" s="159">
        <f t="shared" si="0"/>
        <v>19.764985476630578</v>
      </c>
      <c r="S99" s="160">
        <f t="shared" si="1"/>
        <v>53018</v>
      </c>
      <c r="T99" s="151">
        <v>98</v>
      </c>
      <c r="U99" s="159">
        <f t="shared" si="2"/>
        <v>2.1961094974033974</v>
      </c>
      <c r="V99" s="160">
        <f t="shared" si="3"/>
        <v>53018</v>
      </c>
    </row>
    <row r="100" spans="1:22" ht="15.75" customHeight="1" x14ac:dyDescent="0.2">
      <c r="A100" s="151">
        <v>99</v>
      </c>
      <c r="B100" s="151">
        <v>10606</v>
      </c>
      <c r="C100" s="152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58">
        <v>99</v>
      </c>
      <c r="R100" s="159">
        <f t="shared" si="0"/>
        <v>19.956722175181106</v>
      </c>
      <c r="S100" s="160">
        <f t="shared" si="1"/>
        <v>53145</v>
      </c>
      <c r="T100" s="151">
        <v>99</v>
      </c>
      <c r="U100" s="159">
        <f t="shared" si="2"/>
        <v>2.2174135750201227</v>
      </c>
      <c r="V100" s="160">
        <f t="shared" si="3"/>
        <v>53145</v>
      </c>
    </row>
    <row r="101" spans="1:22" ht="15.75" customHeight="1" x14ac:dyDescent="0.2">
      <c r="A101" s="151">
        <v>100</v>
      </c>
      <c r="B101" s="151">
        <v>10734</v>
      </c>
      <c r="C101" s="152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58">
        <v>100</v>
      </c>
      <c r="R101" s="159">
        <f t="shared" si="0"/>
        <v>20.149043605578811</v>
      </c>
      <c r="S101" s="160">
        <f t="shared" si="1"/>
        <v>53273</v>
      </c>
      <c r="T101" s="151">
        <v>100</v>
      </c>
      <c r="U101" s="159">
        <f t="shared" si="2"/>
        <v>2.2387826228420904</v>
      </c>
      <c r="V101" s="160">
        <f t="shared" si="3"/>
        <v>53273</v>
      </c>
    </row>
    <row r="102" spans="1:22" ht="15.75" customHeight="1" x14ac:dyDescent="0.2">
      <c r="A102" s="151">
        <v>101</v>
      </c>
      <c r="B102" s="151">
        <v>10863</v>
      </c>
      <c r="C102" s="152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58">
        <v>101</v>
      </c>
      <c r="R102" s="159">
        <f t="shared" si="0"/>
        <v>20.341934758997791</v>
      </c>
      <c r="S102" s="160">
        <f t="shared" si="1"/>
        <v>53402</v>
      </c>
      <c r="T102" s="151">
        <v>101</v>
      </c>
      <c r="U102" s="159">
        <f t="shared" si="2"/>
        <v>2.2602149732219767</v>
      </c>
      <c r="V102" s="160">
        <f t="shared" si="3"/>
        <v>53402</v>
      </c>
    </row>
    <row r="103" spans="1:22" ht="15.75" customHeight="1" x14ac:dyDescent="0.2">
      <c r="A103" s="151">
        <v>102</v>
      </c>
      <c r="B103" s="151">
        <v>10993</v>
      </c>
      <c r="C103" s="152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58">
        <v>102</v>
      </c>
      <c r="R103" s="159">
        <f t="shared" si="0"/>
        <v>20.535380706866921</v>
      </c>
      <c r="S103" s="160">
        <f t="shared" si="1"/>
        <v>53532</v>
      </c>
      <c r="T103" s="151">
        <v>102</v>
      </c>
      <c r="U103" s="159">
        <f t="shared" si="2"/>
        <v>2.2817089674296573</v>
      </c>
      <c r="V103" s="160">
        <f t="shared" si="3"/>
        <v>53532</v>
      </c>
    </row>
    <row r="104" spans="1:22" ht="15.75" customHeight="1" x14ac:dyDescent="0.2">
      <c r="A104" s="151">
        <v>103</v>
      </c>
      <c r="B104" s="151">
        <v>11123</v>
      </c>
      <c r="C104" s="152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58">
        <v>103</v>
      </c>
      <c r="R104" s="159">
        <f t="shared" si="0"/>
        <v>20.727889381685362</v>
      </c>
      <c r="S104" s="160">
        <f t="shared" si="1"/>
        <v>53662</v>
      </c>
      <c r="T104" s="151">
        <v>103</v>
      </c>
      <c r="U104" s="159">
        <f t="shared" si="2"/>
        <v>2.3030988201872629</v>
      </c>
      <c r="V104" s="160">
        <f t="shared" si="3"/>
        <v>53662</v>
      </c>
    </row>
    <row r="105" spans="1:22" ht="15.75" customHeight="1" x14ac:dyDescent="0.2">
      <c r="A105" s="151">
        <v>104</v>
      </c>
      <c r="B105" s="151">
        <v>11255</v>
      </c>
      <c r="C105" s="152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58">
        <v>104</v>
      </c>
      <c r="R105" s="159">
        <f t="shared" si="0"/>
        <v>20.922407703461353</v>
      </c>
      <c r="S105" s="160">
        <f t="shared" si="1"/>
        <v>53794</v>
      </c>
      <c r="T105" s="151">
        <v>104</v>
      </c>
      <c r="U105" s="159">
        <f t="shared" si="2"/>
        <v>2.3247119670512615</v>
      </c>
      <c r="V105" s="160">
        <f t="shared" si="3"/>
        <v>53794</v>
      </c>
    </row>
    <row r="106" spans="1:22" ht="15.75" customHeight="1" x14ac:dyDescent="0.2">
      <c r="A106" s="151">
        <v>105</v>
      </c>
      <c r="B106" s="151">
        <v>11387</v>
      </c>
      <c r="C106" s="152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58">
        <v>105</v>
      </c>
      <c r="R106" s="159">
        <f t="shared" si="0"/>
        <v>21.11597374179431</v>
      </c>
      <c r="S106" s="160">
        <f t="shared" si="1"/>
        <v>53926</v>
      </c>
      <c r="T106" s="151">
        <v>105</v>
      </c>
      <c r="U106" s="159">
        <f t="shared" si="2"/>
        <v>2.3462193046438125</v>
      </c>
      <c r="V106" s="160">
        <f t="shared" si="3"/>
        <v>53926</v>
      </c>
    </row>
    <row r="107" spans="1:22" ht="15.75" customHeight="1" x14ac:dyDescent="0.2">
      <c r="A107" s="151">
        <v>106</v>
      </c>
      <c r="B107" s="151">
        <v>11520</v>
      </c>
      <c r="C107" s="152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58">
        <v>106</v>
      </c>
      <c r="R107" s="159">
        <f t="shared" si="0"/>
        <v>21.310050130413067</v>
      </c>
      <c r="S107" s="160">
        <f t="shared" si="1"/>
        <v>54059</v>
      </c>
      <c r="T107" s="151">
        <v>106</v>
      </c>
      <c r="U107" s="159">
        <f t="shared" si="2"/>
        <v>2.3677833478236741</v>
      </c>
      <c r="V107" s="160">
        <f t="shared" si="3"/>
        <v>54059</v>
      </c>
    </row>
    <row r="108" spans="1:22" ht="15.75" customHeight="1" x14ac:dyDescent="0.2">
      <c r="A108" s="151">
        <v>107</v>
      </c>
      <c r="B108" s="151">
        <v>11655</v>
      </c>
      <c r="C108" s="152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58">
        <v>107</v>
      </c>
      <c r="R108" s="159">
        <f t="shared" si="0"/>
        <v>21.506070782743478</v>
      </c>
      <c r="S108" s="160">
        <f t="shared" si="1"/>
        <v>54194</v>
      </c>
      <c r="T108" s="151">
        <v>107</v>
      </c>
      <c r="U108" s="159">
        <f t="shared" si="2"/>
        <v>2.3895634203048308</v>
      </c>
      <c r="V108" s="160">
        <f t="shared" si="3"/>
        <v>54194</v>
      </c>
    </row>
    <row r="109" spans="1:22" ht="15.75" customHeight="1" x14ac:dyDescent="0.2">
      <c r="A109" s="151">
        <v>108</v>
      </c>
      <c r="B109" s="151">
        <v>11790</v>
      </c>
      <c r="C109" s="152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58">
        <v>108</v>
      </c>
      <c r="R109" s="159">
        <f t="shared" si="0"/>
        <v>21.701117267021296</v>
      </c>
      <c r="S109" s="160">
        <f t="shared" si="1"/>
        <v>54329</v>
      </c>
      <c r="T109" s="151">
        <v>108</v>
      </c>
      <c r="U109" s="159">
        <f t="shared" si="2"/>
        <v>2.411235251891255</v>
      </c>
      <c r="V109" s="160">
        <f t="shared" si="3"/>
        <v>54329</v>
      </c>
    </row>
    <row r="110" spans="1:22" ht="15.75" customHeight="1" x14ac:dyDescent="0.2">
      <c r="A110" s="151">
        <v>109</v>
      </c>
      <c r="B110" s="151">
        <v>11926</v>
      </c>
      <c r="C110" s="152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58">
        <v>109</v>
      </c>
      <c r="R110" s="159">
        <f t="shared" si="0"/>
        <v>21.896630863857521</v>
      </c>
      <c r="S110" s="160">
        <f t="shared" si="1"/>
        <v>54465</v>
      </c>
      <c r="T110" s="151">
        <v>109</v>
      </c>
      <c r="U110" s="159">
        <f t="shared" si="2"/>
        <v>2.432958984873058</v>
      </c>
      <c r="V110" s="160">
        <f t="shared" si="3"/>
        <v>54465</v>
      </c>
    </row>
    <row r="111" spans="1:22" ht="15.75" customHeight="1" x14ac:dyDescent="0.2">
      <c r="A111" s="151">
        <v>110</v>
      </c>
      <c r="B111" s="151">
        <v>12063</v>
      </c>
      <c r="C111" s="152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58">
        <v>110</v>
      </c>
      <c r="R111" s="159">
        <f t="shared" si="0"/>
        <v>22.092597340756747</v>
      </c>
      <c r="S111" s="160">
        <f t="shared" si="1"/>
        <v>54602</v>
      </c>
      <c r="T111" s="151">
        <v>110</v>
      </c>
      <c r="U111" s="159">
        <f t="shared" si="2"/>
        <v>2.4547330378618608</v>
      </c>
      <c r="V111" s="160">
        <f t="shared" si="3"/>
        <v>54602</v>
      </c>
    </row>
    <row r="112" spans="1:22" ht="15.75" customHeight="1" x14ac:dyDescent="0.2">
      <c r="A112" s="151">
        <v>111</v>
      </c>
      <c r="B112" s="151">
        <v>12201</v>
      </c>
      <c r="C112" s="152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58">
        <v>111</v>
      </c>
      <c r="R112" s="159">
        <f t="shared" si="0"/>
        <v>22.289002557544755</v>
      </c>
      <c r="S112" s="160">
        <f t="shared" si="1"/>
        <v>54740</v>
      </c>
      <c r="T112" s="151">
        <v>111</v>
      </c>
      <c r="U112" s="159">
        <f t="shared" si="2"/>
        <v>2.4765558397271956</v>
      </c>
      <c r="V112" s="160">
        <f t="shared" si="3"/>
        <v>54740</v>
      </c>
    </row>
    <row r="113" spans="1:22" ht="15.75" customHeight="1" x14ac:dyDescent="0.2">
      <c r="A113" s="151">
        <v>112</v>
      </c>
      <c r="B113" s="151">
        <v>12340</v>
      </c>
      <c r="C113" s="152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58">
        <v>112</v>
      </c>
      <c r="R113" s="159">
        <f t="shared" si="0"/>
        <v>22.485832467792779</v>
      </c>
      <c r="S113" s="160">
        <f t="shared" si="1"/>
        <v>54879</v>
      </c>
      <c r="T113" s="151">
        <v>112</v>
      </c>
      <c r="U113" s="159">
        <f t="shared" si="2"/>
        <v>2.4984258297547535</v>
      </c>
      <c r="V113" s="160">
        <f t="shared" si="3"/>
        <v>54879</v>
      </c>
    </row>
    <row r="114" spans="1:22" ht="15.75" customHeight="1" x14ac:dyDescent="0.2">
      <c r="A114" s="151">
        <v>113</v>
      </c>
      <c r="B114" s="151">
        <v>12480</v>
      </c>
      <c r="C114" s="152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58">
        <v>113</v>
      </c>
      <c r="R114" s="159">
        <f t="shared" si="0"/>
        <v>22.683073120194841</v>
      </c>
      <c r="S114" s="160">
        <f t="shared" si="1"/>
        <v>55019</v>
      </c>
      <c r="T114" s="151">
        <v>113</v>
      </c>
      <c r="U114" s="159">
        <f t="shared" si="2"/>
        <v>2.520341457799427</v>
      </c>
      <c r="V114" s="160">
        <f t="shared" si="3"/>
        <v>55019</v>
      </c>
    </row>
    <row r="115" spans="1:22" ht="15.75" customHeight="1" x14ac:dyDescent="0.2">
      <c r="A115" s="151">
        <v>114</v>
      </c>
      <c r="B115" s="151">
        <v>12621</v>
      </c>
      <c r="C115" s="152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58">
        <v>114</v>
      </c>
      <c r="R115" s="159">
        <f t="shared" si="0"/>
        <v>22.880710659898476</v>
      </c>
      <c r="S115" s="160">
        <f t="shared" si="1"/>
        <v>55160</v>
      </c>
      <c r="T115" s="151">
        <v>114</v>
      </c>
      <c r="U115" s="159">
        <f t="shared" si="2"/>
        <v>2.542301184433164</v>
      </c>
      <c r="V115" s="160">
        <f t="shared" si="3"/>
        <v>55160</v>
      </c>
    </row>
    <row r="116" spans="1:22" ht="15.75" customHeight="1" x14ac:dyDescent="0.2">
      <c r="A116" s="151">
        <v>115</v>
      </c>
      <c r="B116" s="151">
        <v>12763</v>
      </c>
      <c r="C116" s="152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58">
        <v>115</v>
      </c>
      <c r="R116" s="159">
        <f t="shared" si="0"/>
        <v>23.078731329789157</v>
      </c>
      <c r="S116" s="160">
        <f t="shared" si="1"/>
        <v>55302</v>
      </c>
      <c r="T116" s="151">
        <v>115</v>
      </c>
      <c r="U116" s="159">
        <f t="shared" si="2"/>
        <v>2.5643034810876841</v>
      </c>
      <c r="V116" s="160">
        <f t="shared" si="3"/>
        <v>55302</v>
      </c>
    </row>
    <row r="117" spans="1:22" ht="15.75" customHeight="1" x14ac:dyDescent="0.2">
      <c r="A117" s="151">
        <v>116</v>
      </c>
      <c r="B117" s="151">
        <v>12906</v>
      </c>
      <c r="C117" s="152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58">
        <v>116</v>
      </c>
      <c r="R117" s="159">
        <f t="shared" si="0"/>
        <v>23.277121471728741</v>
      </c>
      <c r="S117" s="160">
        <f t="shared" si="1"/>
        <v>55445</v>
      </c>
      <c r="T117" s="151">
        <v>116</v>
      </c>
      <c r="U117" s="159">
        <f t="shared" si="2"/>
        <v>2.586346830192082</v>
      </c>
      <c r="V117" s="160">
        <f t="shared" si="3"/>
        <v>55445</v>
      </c>
    </row>
    <row r="118" spans="1:22" ht="15.75" customHeight="1" x14ac:dyDescent="0.2">
      <c r="A118" s="151">
        <v>117</v>
      </c>
      <c r="B118" s="151">
        <v>13051</v>
      </c>
      <c r="C118" s="152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58">
        <v>117</v>
      </c>
      <c r="R118" s="159">
        <f t="shared" si="0"/>
        <v>23.477244108652634</v>
      </c>
      <c r="S118" s="160">
        <f t="shared" si="1"/>
        <v>55590</v>
      </c>
      <c r="T118" s="151">
        <v>117</v>
      </c>
      <c r="U118" s="159">
        <f t="shared" si="2"/>
        <v>2.6085826787391819</v>
      </c>
      <c r="V118" s="160">
        <f t="shared" si="3"/>
        <v>55590</v>
      </c>
    </row>
    <row r="119" spans="1:22" ht="15.75" customHeight="1" x14ac:dyDescent="0.2">
      <c r="A119" s="151">
        <v>118</v>
      </c>
      <c r="B119" s="151">
        <v>13196</v>
      </c>
      <c r="C119" s="152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58">
        <v>118</v>
      </c>
      <c r="R119" s="159">
        <f t="shared" si="0"/>
        <v>23.676325468735982</v>
      </c>
      <c r="S119" s="160">
        <f t="shared" si="1"/>
        <v>55735</v>
      </c>
      <c r="T119" s="151">
        <v>118</v>
      </c>
      <c r="U119" s="159">
        <f t="shared" si="2"/>
        <v>2.6307028298595538</v>
      </c>
      <c r="V119" s="160">
        <f t="shared" si="3"/>
        <v>55735</v>
      </c>
    </row>
    <row r="120" spans="1:22" ht="15.75" customHeight="1" x14ac:dyDescent="0.2">
      <c r="A120" s="151">
        <v>119</v>
      </c>
      <c r="B120" s="151">
        <v>13343</v>
      </c>
      <c r="C120" s="152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58">
        <v>119</v>
      </c>
      <c r="R120" s="159">
        <f t="shared" si="0"/>
        <v>23.877098171146343</v>
      </c>
      <c r="S120" s="160">
        <f t="shared" si="1"/>
        <v>55882</v>
      </c>
      <c r="T120" s="151">
        <v>119</v>
      </c>
      <c r="U120" s="159">
        <f t="shared" si="2"/>
        <v>2.6530109079051494</v>
      </c>
      <c r="V120" s="160">
        <f t="shared" si="3"/>
        <v>55882</v>
      </c>
    </row>
    <row r="121" spans="1:22" ht="15.75" customHeight="1" x14ac:dyDescent="0.2">
      <c r="A121" s="151">
        <v>120</v>
      </c>
      <c r="B121" s="151">
        <v>13491</v>
      </c>
      <c r="C121" s="152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58">
        <v>120</v>
      </c>
      <c r="R121" s="159">
        <f t="shared" si="0"/>
        <v>24.078172407638764</v>
      </c>
      <c r="S121" s="160">
        <f t="shared" si="1"/>
        <v>56030</v>
      </c>
      <c r="T121" s="151">
        <v>120</v>
      </c>
      <c r="U121" s="159">
        <f t="shared" si="2"/>
        <v>2.6753524897376408</v>
      </c>
      <c r="V121" s="160">
        <f t="shared" si="3"/>
        <v>56030</v>
      </c>
    </row>
    <row r="122" spans="1:22" ht="15.75" customHeight="1" x14ac:dyDescent="0.2">
      <c r="A122" s="151">
        <v>121</v>
      </c>
      <c r="B122" s="151">
        <v>13640</v>
      </c>
      <c r="C122" s="152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58">
        <v>121</v>
      </c>
      <c r="R122" s="159">
        <f t="shared" si="0"/>
        <v>24.279535057583796</v>
      </c>
      <c r="S122" s="160">
        <f t="shared" si="1"/>
        <v>56179</v>
      </c>
      <c r="T122" s="151">
        <v>121</v>
      </c>
      <c r="U122" s="159">
        <f t="shared" si="2"/>
        <v>2.6977261175093106</v>
      </c>
      <c r="V122" s="160">
        <f t="shared" si="3"/>
        <v>56179</v>
      </c>
    </row>
    <row r="123" spans="1:22" ht="15.75" customHeight="1" x14ac:dyDescent="0.2">
      <c r="A123" s="151">
        <v>122</v>
      </c>
      <c r="B123" s="151">
        <v>13790</v>
      </c>
      <c r="C123" s="152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58">
        <v>122</v>
      </c>
      <c r="R123" s="159">
        <f t="shared" si="0"/>
        <v>24.481173107990557</v>
      </c>
      <c r="S123" s="160">
        <f t="shared" si="1"/>
        <v>56329</v>
      </c>
      <c r="T123" s="151">
        <v>122</v>
      </c>
      <c r="U123" s="159">
        <f t="shared" si="2"/>
        <v>2.7201303453322838</v>
      </c>
      <c r="V123" s="160">
        <f t="shared" si="3"/>
        <v>56329</v>
      </c>
    </row>
    <row r="124" spans="1:22" ht="15.75" customHeight="1" x14ac:dyDescent="0.2">
      <c r="A124" s="151">
        <v>123</v>
      </c>
      <c r="B124" s="151">
        <v>13942</v>
      </c>
      <c r="C124" s="152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58">
        <v>123</v>
      </c>
      <c r="R124" s="159">
        <f t="shared" si="0"/>
        <v>24.684407145765832</v>
      </c>
      <c r="S124" s="160">
        <f t="shared" si="1"/>
        <v>56481</v>
      </c>
      <c r="T124" s="151">
        <v>123</v>
      </c>
      <c r="U124" s="159">
        <f t="shared" si="2"/>
        <v>2.7427119050850925</v>
      </c>
      <c r="V124" s="160">
        <f t="shared" si="3"/>
        <v>56481</v>
      </c>
    </row>
    <row r="125" spans="1:22" ht="15.75" customHeight="1" x14ac:dyDescent="0.2">
      <c r="A125" s="151">
        <v>124</v>
      </c>
      <c r="B125" s="151">
        <v>14095</v>
      </c>
      <c r="C125" s="152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58">
        <v>124</v>
      </c>
      <c r="R125" s="159">
        <f t="shared" si="0"/>
        <v>24.887876540593989</v>
      </c>
      <c r="S125" s="160">
        <f t="shared" si="1"/>
        <v>56634</v>
      </c>
      <c r="T125" s="151">
        <v>124</v>
      </c>
      <c r="U125" s="159">
        <f t="shared" si="2"/>
        <v>2.765319615621554</v>
      </c>
      <c r="V125" s="160">
        <f t="shared" si="3"/>
        <v>56634</v>
      </c>
    </row>
    <row r="126" spans="1:22" ht="15.75" customHeight="1" x14ac:dyDescent="0.2">
      <c r="A126" s="151">
        <v>125</v>
      </c>
      <c r="B126" s="151">
        <v>14249</v>
      </c>
      <c r="C126" s="152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58">
        <v>125</v>
      </c>
      <c r="R126" s="159">
        <f t="shared" si="0"/>
        <v>25.091568641262242</v>
      </c>
      <c r="S126" s="160">
        <f t="shared" si="1"/>
        <v>56788</v>
      </c>
      <c r="T126" s="151">
        <v>125</v>
      </c>
      <c r="U126" s="159">
        <f t="shared" si="2"/>
        <v>2.7879520712513597</v>
      </c>
      <c r="V126" s="160">
        <f t="shared" si="3"/>
        <v>56788</v>
      </c>
    </row>
    <row r="127" spans="1:22" ht="15.75" customHeight="1" x14ac:dyDescent="0.2">
      <c r="A127" s="151">
        <v>126</v>
      </c>
      <c r="B127" s="151">
        <v>14404</v>
      </c>
      <c r="C127" s="152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58">
        <v>126</v>
      </c>
      <c r="R127" s="159">
        <f t="shared" si="0"/>
        <v>25.295470909505998</v>
      </c>
      <c r="S127" s="160">
        <f t="shared" si="1"/>
        <v>56943</v>
      </c>
      <c r="T127" s="151">
        <v>126</v>
      </c>
      <c r="U127" s="159">
        <f t="shared" si="2"/>
        <v>2.8106078788339994</v>
      </c>
      <c r="V127" s="160">
        <f t="shared" si="3"/>
        <v>56943</v>
      </c>
    </row>
    <row r="128" spans="1:22" ht="15.75" customHeight="1" x14ac:dyDescent="0.2">
      <c r="A128" s="151">
        <v>127</v>
      </c>
      <c r="B128" s="151">
        <v>14561</v>
      </c>
      <c r="C128" s="152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58">
        <v>127</v>
      </c>
      <c r="R128" s="159">
        <f t="shared" si="0"/>
        <v>25.500875656742554</v>
      </c>
      <c r="S128" s="160">
        <f t="shared" si="1"/>
        <v>57100</v>
      </c>
      <c r="T128" s="151">
        <v>127</v>
      </c>
      <c r="U128" s="159">
        <f t="shared" si="2"/>
        <v>2.8334306285269508</v>
      </c>
      <c r="V128" s="160">
        <f t="shared" si="3"/>
        <v>57100</v>
      </c>
    </row>
    <row r="129" spans="1:22" ht="15.75" customHeight="1" x14ac:dyDescent="0.2">
      <c r="A129" s="151">
        <v>128</v>
      </c>
      <c r="B129" s="151">
        <v>14719</v>
      </c>
      <c r="C129" s="152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58">
        <v>128</v>
      </c>
      <c r="R129" s="159">
        <f t="shared" si="0"/>
        <v>25.70645150022704</v>
      </c>
      <c r="S129" s="160">
        <f t="shared" si="1"/>
        <v>57258</v>
      </c>
      <c r="T129" s="151">
        <v>128</v>
      </c>
      <c r="U129" s="159">
        <f t="shared" si="2"/>
        <v>2.8562723889141157</v>
      </c>
      <c r="V129" s="160">
        <f t="shared" si="3"/>
        <v>57258</v>
      </c>
    </row>
    <row r="130" spans="1:22" ht="15.75" customHeight="1" x14ac:dyDescent="0.2">
      <c r="A130" s="151">
        <v>129</v>
      </c>
      <c r="B130" s="151">
        <v>14879</v>
      </c>
      <c r="C130" s="152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58">
        <v>129</v>
      </c>
      <c r="R130" s="159">
        <f t="shared" si="0"/>
        <v>25.91347661012226</v>
      </c>
      <c r="S130" s="160">
        <f t="shared" si="1"/>
        <v>57418</v>
      </c>
      <c r="T130" s="151">
        <v>129</v>
      </c>
      <c r="U130" s="159">
        <f t="shared" si="2"/>
        <v>2.8792751789024731</v>
      </c>
      <c r="V130" s="160">
        <f t="shared" si="3"/>
        <v>57418</v>
      </c>
    </row>
    <row r="131" spans="1:22" ht="15.75" customHeight="1" x14ac:dyDescent="0.2">
      <c r="A131" s="151">
        <v>130</v>
      </c>
      <c r="B131" s="151">
        <v>15040</v>
      </c>
      <c r="C131" s="152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58">
        <v>130</v>
      </c>
      <c r="R131" s="159">
        <f t="shared" si="0"/>
        <v>26.120634259018043</v>
      </c>
      <c r="S131" s="160">
        <f t="shared" si="1"/>
        <v>57579</v>
      </c>
      <c r="T131" s="151">
        <v>130</v>
      </c>
      <c r="U131" s="159">
        <f t="shared" si="2"/>
        <v>2.9022926954464494</v>
      </c>
      <c r="V131" s="160">
        <f t="shared" si="3"/>
        <v>57579</v>
      </c>
    </row>
    <row r="132" spans="1:22" ht="15.75" customHeight="1" x14ac:dyDescent="0.2">
      <c r="A132" s="151">
        <v>131</v>
      </c>
      <c r="B132" s="151">
        <v>15202</v>
      </c>
      <c r="C132" s="152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58">
        <v>131</v>
      </c>
      <c r="R132" s="159">
        <f t="shared" si="0"/>
        <v>26.327912575119932</v>
      </c>
      <c r="S132" s="160">
        <f t="shared" si="1"/>
        <v>57741</v>
      </c>
      <c r="T132" s="151">
        <v>131</v>
      </c>
      <c r="U132" s="159">
        <f t="shared" si="2"/>
        <v>2.9253236194577701</v>
      </c>
      <c r="V132" s="160">
        <f t="shared" si="3"/>
        <v>57741</v>
      </c>
    </row>
    <row r="133" spans="1:22" ht="15.75" customHeight="1" x14ac:dyDescent="0.2">
      <c r="A133" s="151">
        <v>132</v>
      </c>
      <c r="B133" s="151">
        <v>15366</v>
      </c>
      <c r="C133" s="152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58">
        <v>132</v>
      </c>
      <c r="R133" s="159">
        <f t="shared" si="0"/>
        <v>26.536568517399189</v>
      </c>
      <c r="S133" s="160">
        <f t="shared" si="1"/>
        <v>57905</v>
      </c>
      <c r="T133" s="151">
        <v>132</v>
      </c>
      <c r="U133" s="159">
        <f t="shared" si="2"/>
        <v>2.9485076130443542</v>
      </c>
      <c r="V133" s="160">
        <f t="shared" si="3"/>
        <v>57905</v>
      </c>
    </row>
    <row r="134" spans="1:22" ht="15.75" customHeight="1" x14ac:dyDescent="0.2">
      <c r="A134" s="151">
        <v>133</v>
      </c>
      <c r="B134" s="151">
        <v>15532</v>
      </c>
      <c r="C134" s="152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58">
        <v>133</v>
      </c>
      <c r="R134" s="159">
        <f t="shared" si="0"/>
        <v>26.746568855366704</v>
      </c>
      <c r="S134" s="160">
        <f t="shared" si="1"/>
        <v>58071</v>
      </c>
      <c r="T134" s="151">
        <v>133</v>
      </c>
      <c r="U134" s="159">
        <f t="shared" si="2"/>
        <v>2.971840983929634</v>
      </c>
      <c r="V134" s="160">
        <f t="shared" si="3"/>
        <v>58071</v>
      </c>
    </row>
    <row r="135" spans="1:22" ht="15.75" customHeight="1" x14ac:dyDescent="0.2">
      <c r="A135" s="151">
        <v>134</v>
      </c>
      <c r="B135" s="151">
        <v>15699</v>
      </c>
      <c r="C135" s="152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58">
        <v>134</v>
      </c>
      <c r="R135" s="159">
        <f t="shared" si="0"/>
        <v>26.956626257769837</v>
      </c>
      <c r="S135" s="160">
        <f t="shared" si="1"/>
        <v>58238</v>
      </c>
      <c r="T135" s="151">
        <v>134</v>
      </c>
      <c r="U135" s="159">
        <f t="shared" si="2"/>
        <v>2.9951806953077602</v>
      </c>
      <c r="V135" s="160">
        <f t="shared" si="3"/>
        <v>58238</v>
      </c>
    </row>
    <row r="136" spans="1:22" ht="15.75" customHeight="1" x14ac:dyDescent="0.2">
      <c r="A136" s="151">
        <v>135</v>
      </c>
      <c r="B136" s="151">
        <v>15868</v>
      </c>
      <c r="C136" s="152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58">
        <v>135</v>
      </c>
      <c r="R136" s="159">
        <f t="shared" si="0"/>
        <v>27.167976441179999</v>
      </c>
      <c r="S136" s="160">
        <f t="shared" si="1"/>
        <v>58407</v>
      </c>
      <c r="T136" s="151">
        <v>135</v>
      </c>
      <c r="U136" s="159">
        <f t="shared" si="2"/>
        <v>3.0186640490199994</v>
      </c>
      <c r="V136" s="160">
        <f t="shared" si="3"/>
        <v>58407</v>
      </c>
    </row>
    <row r="137" spans="1:22" ht="15.75" customHeight="1" x14ac:dyDescent="0.2">
      <c r="A137" s="151">
        <v>136</v>
      </c>
      <c r="B137" s="151">
        <v>16038</v>
      </c>
      <c r="C137" s="152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58">
        <v>136</v>
      </c>
      <c r="R137" s="159">
        <f t="shared" si="0"/>
        <v>27.379346842617409</v>
      </c>
      <c r="S137" s="160">
        <f t="shared" si="1"/>
        <v>58577</v>
      </c>
      <c r="T137" s="151">
        <v>136</v>
      </c>
      <c r="U137" s="159">
        <f t="shared" si="2"/>
        <v>3.0421496491797124</v>
      </c>
      <c r="V137" s="160">
        <f t="shared" si="3"/>
        <v>58577</v>
      </c>
    </row>
    <row r="138" spans="1:22" ht="15.75" customHeight="1" x14ac:dyDescent="0.2">
      <c r="A138" s="151">
        <v>137</v>
      </c>
      <c r="B138" s="151">
        <v>16210</v>
      </c>
      <c r="C138" s="152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58">
        <v>137</v>
      </c>
      <c r="R138" s="159">
        <f t="shared" si="0"/>
        <v>27.59195901206829</v>
      </c>
      <c r="S138" s="160">
        <f t="shared" si="1"/>
        <v>58749</v>
      </c>
      <c r="T138" s="151">
        <v>137</v>
      </c>
      <c r="U138" s="159">
        <f t="shared" si="2"/>
        <v>3.0657732235631436</v>
      </c>
      <c r="V138" s="160">
        <f t="shared" si="3"/>
        <v>58749</v>
      </c>
    </row>
    <row r="139" spans="1:22" ht="15.75" customHeight="1" x14ac:dyDescent="0.2">
      <c r="A139" s="151">
        <v>138</v>
      </c>
      <c r="B139" s="151">
        <v>16384</v>
      </c>
      <c r="C139" s="152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58">
        <v>138</v>
      </c>
      <c r="R139" s="159">
        <f t="shared" si="0"/>
        <v>27.805780425300817</v>
      </c>
      <c r="S139" s="160">
        <f t="shared" si="1"/>
        <v>58923</v>
      </c>
      <c r="T139" s="151">
        <v>138</v>
      </c>
      <c r="U139" s="159">
        <f t="shared" si="2"/>
        <v>3.0895311583667571</v>
      </c>
      <c r="V139" s="160">
        <f t="shared" si="3"/>
        <v>58923</v>
      </c>
    </row>
    <row r="140" spans="1:22" ht="15.75" customHeight="1" x14ac:dyDescent="0.2">
      <c r="A140" s="151">
        <v>139</v>
      </c>
      <c r="B140" s="151">
        <v>16559</v>
      </c>
      <c r="C140" s="152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58">
        <v>139</v>
      </c>
      <c r="R140" s="159">
        <f t="shared" si="0"/>
        <v>28.019560729635522</v>
      </c>
      <c r="S140" s="160">
        <f t="shared" si="1"/>
        <v>59098</v>
      </c>
      <c r="T140" s="151">
        <v>139</v>
      </c>
      <c r="U140" s="159">
        <f t="shared" si="2"/>
        <v>3.1132845255150579</v>
      </c>
      <c r="V140" s="160">
        <f t="shared" si="3"/>
        <v>59098</v>
      </c>
    </row>
    <row r="141" spans="1:22" ht="15.75" customHeight="1" x14ac:dyDescent="0.2">
      <c r="A141" s="151">
        <v>140</v>
      </c>
      <c r="B141" s="151">
        <v>16737</v>
      </c>
      <c r="C141" s="152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58">
        <v>140</v>
      </c>
      <c r="R141" s="159">
        <f t="shared" si="0"/>
        <v>28.235710911667454</v>
      </c>
      <c r="S141" s="160">
        <f t="shared" si="1"/>
        <v>59276</v>
      </c>
      <c r="T141" s="151">
        <v>140</v>
      </c>
      <c r="U141" s="159">
        <f t="shared" si="2"/>
        <v>3.137301212407495</v>
      </c>
      <c r="V141" s="160">
        <f t="shared" si="3"/>
        <v>59276</v>
      </c>
    </row>
    <row r="142" spans="1:22" ht="15.75" customHeight="1" x14ac:dyDescent="0.2">
      <c r="A142" s="151">
        <v>141</v>
      </c>
      <c r="B142" s="151">
        <v>16916</v>
      </c>
      <c r="C142" s="152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58">
        <v>141</v>
      </c>
      <c r="R142" s="159">
        <f t="shared" si="0"/>
        <v>28.451770246404845</v>
      </c>
      <c r="S142" s="160">
        <f t="shared" si="1"/>
        <v>59455</v>
      </c>
      <c r="T142" s="151">
        <v>141</v>
      </c>
      <c r="U142" s="159">
        <f t="shared" si="2"/>
        <v>3.1613078051560937</v>
      </c>
      <c r="V142" s="160">
        <f t="shared" si="3"/>
        <v>59455</v>
      </c>
    </row>
    <row r="143" spans="1:22" ht="15.75" customHeight="1" x14ac:dyDescent="0.2">
      <c r="A143" s="151">
        <v>142</v>
      </c>
      <c r="B143" s="151">
        <v>17096</v>
      </c>
      <c r="C143" s="152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58">
        <v>142</v>
      </c>
      <c r="R143" s="159">
        <f t="shared" si="0"/>
        <v>28.667728682820492</v>
      </c>
      <c r="S143" s="160">
        <f t="shared" si="1"/>
        <v>59635</v>
      </c>
      <c r="T143" s="151">
        <v>142</v>
      </c>
      <c r="U143" s="159">
        <f t="shared" si="2"/>
        <v>3.1853031869800548</v>
      </c>
      <c r="V143" s="160">
        <f t="shared" si="3"/>
        <v>59635</v>
      </c>
    </row>
    <row r="144" spans="1:22" ht="15.75" customHeight="1" x14ac:dyDescent="0.2">
      <c r="A144" s="151">
        <v>143</v>
      </c>
      <c r="B144" s="151">
        <v>17279</v>
      </c>
      <c r="C144" s="152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58">
        <v>143</v>
      </c>
      <c r="R144" s="159">
        <f t="shared" si="0"/>
        <v>28.885954060650644</v>
      </c>
      <c r="S144" s="160">
        <f t="shared" si="1"/>
        <v>59818</v>
      </c>
      <c r="T144" s="151">
        <v>143</v>
      </c>
      <c r="U144" s="159">
        <f t="shared" si="2"/>
        <v>3.2095504511834045</v>
      </c>
      <c r="V144" s="160">
        <f t="shared" si="3"/>
        <v>59818</v>
      </c>
    </row>
    <row r="145" spans="1:22" ht="15.75" customHeight="1" x14ac:dyDescent="0.2">
      <c r="A145" s="151">
        <v>144</v>
      </c>
      <c r="B145" s="151">
        <v>17464</v>
      </c>
      <c r="C145" s="152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58">
        <v>144</v>
      </c>
      <c r="R145" s="159">
        <f t="shared" si="0"/>
        <v>29.105211406096359</v>
      </c>
      <c r="S145" s="160">
        <f t="shared" si="1"/>
        <v>60003</v>
      </c>
      <c r="T145" s="151">
        <v>144</v>
      </c>
      <c r="U145" s="159">
        <f t="shared" si="2"/>
        <v>3.2339123784551513</v>
      </c>
      <c r="V145" s="160">
        <f t="shared" si="3"/>
        <v>60003</v>
      </c>
    </row>
    <row r="146" spans="1:22" ht="15.75" customHeight="1" x14ac:dyDescent="0.2">
      <c r="A146" s="151">
        <v>145</v>
      </c>
      <c r="B146" s="151">
        <v>17650</v>
      </c>
      <c r="C146" s="152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58">
        <v>145</v>
      </c>
      <c r="R146" s="159">
        <f t="shared" si="0"/>
        <v>29.324295136985164</v>
      </c>
      <c r="S146" s="160">
        <f t="shared" si="1"/>
        <v>60189</v>
      </c>
      <c r="T146" s="151">
        <v>145</v>
      </c>
      <c r="U146" s="159">
        <f t="shared" si="2"/>
        <v>3.2582550152205734</v>
      </c>
      <c r="V146" s="160">
        <f t="shared" si="3"/>
        <v>60189</v>
      </c>
    </row>
    <row r="147" spans="1:22" ht="15.75" customHeight="1" x14ac:dyDescent="0.2">
      <c r="A147" s="151">
        <v>146</v>
      </c>
      <c r="B147" s="151">
        <v>17839</v>
      </c>
      <c r="C147" s="152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58">
        <v>146</v>
      </c>
      <c r="R147" s="159">
        <f t="shared" si="0"/>
        <v>29.545529828745572</v>
      </c>
      <c r="S147" s="160">
        <f t="shared" si="1"/>
        <v>60378</v>
      </c>
      <c r="T147" s="151">
        <v>146</v>
      </c>
      <c r="U147" s="159">
        <f t="shared" si="2"/>
        <v>3.2828366476383963</v>
      </c>
      <c r="V147" s="160">
        <f t="shared" si="3"/>
        <v>60378</v>
      </c>
    </row>
    <row r="148" spans="1:22" ht="15.75" customHeight="1" x14ac:dyDescent="0.2">
      <c r="A148" s="151">
        <v>147</v>
      </c>
      <c r="B148" s="151">
        <v>18029</v>
      </c>
      <c r="C148" s="152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58">
        <v>147</v>
      </c>
      <c r="R148" s="159">
        <f t="shared" si="0"/>
        <v>29.766543389248447</v>
      </c>
      <c r="S148" s="160">
        <f t="shared" si="1"/>
        <v>60568</v>
      </c>
      <c r="T148" s="151">
        <v>147</v>
      </c>
      <c r="U148" s="159">
        <f t="shared" si="2"/>
        <v>3.3073937099164943</v>
      </c>
      <c r="V148" s="160">
        <f t="shared" si="3"/>
        <v>60568</v>
      </c>
    </row>
    <row r="149" spans="1:22" ht="15.75" customHeight="1" x14ac:dyDescent="0.2">
      <c r="A149" s="151">
        <v>148</v>
      </c>
      <c r="B149" s="151">
        <v>18222</v>
      </c>
      <c r="C149" s="152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58">
        <v>148</v>
      </c>
      <c r="R149" s="159">
        <f t="shared" si="0"/>
        <v>29.989631507052223</v>
      </c>
      <c r="S149" s="160">
        <f t="shared" si="1"/>
        <v>60761</v>
      </c>
      <c r="T149" s="151">
        <v>148</v>
      </c>
      <c r="U149" s="159">
        <f t="shared" si="2"/>
        <v>3.3321812785613583</v>
      </c>
      <c r="V149" s="160">
        <f t="shared" si="3"/>
        <v>60761</v>
      </c>
    </row>
    <row r="150" spans="1:22" ht="15.75" customHeight="1" x14ac:dyDescent="0.2">
      <c r="A150" s="151">
        <v>149</v>
      </c>
      <c r="B150" s="151">
        <v>18417</v>
      </c>
      <c r="C150" s="152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58">
        <v>149</v>
      </c>
      <c r="R150" s="159">
        <f t="shared" si="0"/>
        <v>30.21359669269637</v>
      </c>
      <c r="S150" s="160">
        <f t="shared" si="1"/>
        <v>60956</v>
      </c>
      <c r="T150" s="151">
        <v>149</v>
      </c>
      <c r="U150" s="159">
        <f t="shared" si="2"/>
        <v>3.3570662991884852</v>
      </c>
      <c r="V150" s="160">
        <f t="shared" si="3"/>
        <v>60956</v>
      </c>
    </row>
    <row r="151" spans="1:22" ht="15.75" customHeight="1" x14ac:dyDescent="0.2">
      <c r="A151" s="151">
        <v>150</v>
      </c>
      <c r="B151" s="151">
        <v>18613</v>
      </c>
      <c r="C151" s="152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58">
        <v>150</v>
      </c>
      <c r="R151" s="159">
        <f t="shared" si="0"/>
        <v>30.437271062271058</v>
      </c>
      <c r="S151" s="160">
        <f t="shared" si="1"/>
        <v>61152</v>
      </c>
      <c r="T151" s="151">
        <v>150</v>
      </c>
      <c r="U151" s="159">
        <f t="shared" si="2"/>
        <v>3.381919006919007</v>
      </c>
      <c r="V151" s="160">
        <f t="shared" si="3"/>
        <v>61152</v>
      </c>
    </row>
    <row r="152" spans="1:22" ht="15.75" customHeight="1" x14ac:dyDescent="0.2">
      <c r="A152" s="151">
        <v>151</v>
      </c>
      <c r="B152" s="151">
        <v>18812</v>
      </c>
      <c r="C152" s="152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58">
        <v>151</v>
      </c>
      <c r="R152" s="159">
        <f t="shared" si="0"/>
        <v>30.662906880083458</v>
      </c>
      <c r="S152" s="160">
        <f t="shared" si="1"/>
        <v>61351</v>
      </c>
      <c r="T152" s="151">
        <v>151</v>
      </c>
      <c r="U152" s="159">
        <f t="shared" si="2"/>
        <v>3.4069896533426061</v>
      </c>
      <c r="V152" s="160">
        <f t="shared" si="3"/>
        <v>61351</v>
      </c>
    </row>
    <row r="153" spans="1:22" ht="15.75" customHeight="1" x14ac:dyDescent="0.2">
      <c r="A153" s="151">
        <v>152</v>
      </c>
      <c r="B153" s="151">
        <v>19014</v>
      </c>
      <c r="C153" s="152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58">
        <v>152</v>
      </c>
      <c r="R153" s="159">
        <f t="shared" si="0"/>
        <v>30.890452130684125</v>
      </c>
      <c r="S153" s="160">
        <f t="shared" si="1"/>
        <v>61553</v>
      </c>
      <c r="T153" s="151">
        <v>152</v>
      </c>
      <c r="U153" s="159">
        <f t="shared" si="2"/>
        <v>3.4322724589649023</v>
      </c>
      <c r="V153" s="160">
        <f t="shared" si="3"/>
        <v>61553</v>
      </c>
    </row>
    <row r="154" spans="1:22" ht="15.75" customHeight="1" x14ac:dyDescent="0.2">
      <c r="A154" s="151">
        <v>153</v>
      </c>
      <c r="B154" s="151">
        <v>19217</v>
      </c>
      <c r="C154" s="152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58">
        <v>153</v>
      </c>
      <c r="R154" s="159">
        <f t="shared" si="0"/>
        <v>31.117624198458451</v>
      </c>
      <c r="S154" s="160">
        <f t="shared" si="1"/>
        <v>61756</v>
      </c>
      <c r="T154" s="151">
        <v>153</v>
      </c>
      <c r="U154" s="159">
        <f t="shared" si="2"/>
        <v>3.4575137998287166</v>
      </c>
      <c r="V154" s="160">
        <f t="shared" si="3"/>
        <v>61756</v>
      </c>
    </row>
    <row r="155" spans="1:22" ht="15.75" customHeight="1" x14ac:dyDescent="0.2">
      <c r="A155" s="151">
        <v>154</v>
      </c>
      <c r="B155" s="151">
        <v>19423</v>
      </c>
      <c r="C155" s="152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58">
        <v>154</v>
      </c>
      <c r="R155" s="159">
        <f t="shared" si="0"/>
        <v>31.346631806591134</v>
      </c>
      <c r="S155" s="160">
        <f t="shared" si="1"/>
        <v>61962</v>
      </c>
      <c r="T155" s="151">
        <v>154</v>
      </c>
      <c r="U155" s="159">
        <f t="shared" si="2"/>
        <v>3.4829590896212377</v>
      </c>
      <c r="V155" s="160">
        <f t="shared" si="3"/>
        <v>61962</v>
      </c>
    </row>
    <row r="156" spans="1:22" ht="15.75" customHeight="1" x14ac:dyDescent="0.2">
      <c r="A156" s="151">
        <v>155</v>
      </c>
      <c r="B156" s="151">
        <v>19631</v>
      </c>
      <c r="C156" s="152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58">
        <v>155</v>
      </c>
      <c r="R156" s="159">
        <f t="shared" si="0"/>
        <v>31.576322985362715</v>
      </c>
      <c r="S156" s="160">
        <f t="shared" si="1"/>
        <v>62170</v>
      </c>
      <c r="T156" s="151">
        <v>155</v>
      </c>
      <c r="U156" s="159">
        <f t="shared" si="2"/>
        <v>3.5084803317069682</v>
      </c>
      <c r="V156" s="160">
        <f t="shared" si="3"/>
        <v>62170</v>
      </c>
    </row>
    <row r="157" spans="1:22" ht="15.75" customHeight="1" x14ac:dyDescent="0.2">
      <c r="A157" s="151">
        <v>156</v>
      </c>
      <c r="B157" s="151">
        <v>19842</v>
      </c>
      <c r="C157" s="152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58">
        <v>156</v>
      </c>
      <c r="R157" s="159">
        <f t="shared" si="0"/>
        <v>31.807761978807648</v>
      </c>
      <c r="S157" s="160">
        <f t="shared" si="1"/>
        <v>62381</v>
      </c>
      <c r="T157" s="151">
        <v>156</v>
      </c>
      <c r="U157" s="159">
        <f t="shared" si="2"/>
        <v>3.534195775423072</v>
      </c>
      <c r="V157" s="160">
        <f t="shared" si="3"/>
        <v>62381</v>
      </c>
    </row>
    <row r="158" spans="1:22" ht="15.75" customHeight="1" x14ac:dyDescent="0.2">
      <c r="A158" s="151">
        <v>157</v>
      </c>
      <c r="B158" s="151">
        <v>20055</v>
      </c>
      <c r="C158" s="152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58">
        <v>157</v>
      </c>
      <c r="R158" s="159">
        <f t="shared" si="0"/>
        <v>32.039812122567653</v>
      </c>
      <c r="S158" s="160">
        <f t="shared" si="1"/>
        <v>62594</v>
      </c>
      <c r="T158" s="151">
        <v>157</v>
      </c>
      <c r="U158" s="159">
        <f t="shared" si="2"/>
        <v>3.5599791247297405</v>
      </c>
      <c r="V158" s="160">
        <f t="shared" si="3"/>
        <v>62594</v>
      </c>
    </row>
    <row r="159" spans="1:22" ht="15.75" customHeight="1" x14ac:dyDescent="0.2">
      <c r="A159" s="151">
        <v>158</v>
      </c>
      <c r="B159" s="151">
        <v>20271</v>
      </c>
      <c r="C159" s="152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58">
        <v>158</v>
      </c>
      <c r="R159" s="159">
        <f t="shared" si="0"/>
        <v>32.273523324311412</v>
      </c>
      <c r="S159" s="160">
        <f t="shared" si="1"/>
        <v>62810</v>
      </c>
      <c r="T159" s="151">
        <v>158</v>
      </c>
      <c r="U159" s="159">
        <f t="shared" si="2"/>
        <v>3.585947036034602</v>
      </c>
      <c r="V159" s="160">
        <f t="shared" si="3"/>
        <v>62810</v>
      </c>
    </row>
    <row r="160" spans="1:22" ht="15.75" customHeight="1" x14ac:dyDescent="0.2">
      <c r="A160" s="151">
        <v>159</v>
      </c>
      <c r="B160" s="151">
        <v>20489</v>
      </c>
      <c r="C160" s="152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58">
        <v>159</v>
      </c>
      <c r="R160" s="159">
        <f t="shared" si="0"/>
        <v>32.507774322523325</v>
      </c>
      <c r="S160" s="160">
        <f t="shared" si="1"/>
        <v>63028</v>
      </c>
      <c r="T160" s="151">
        <v>159</v>
      </c>
      <c r="U160" s="159">
        <f t="shared" si="2"/>
        <v>3.6119749247248136</v>
      </c>
      <c r="V160" s="160">
        <f t="shared" si="3"/>
        <v>63028</v>
      </c>
    </row>
    <row r="161" spans="1:22" ht="15.75" customHeight="1" x14ac:dyDescent="0.2">
      <c r="A161" s="151">
        <v>160</v>
      </c>
      <c r="B161" s="151">
        <v>20709</v>
      </c>
      <c r="C161" s="152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58">
        <v>160</v>
      </c>
      <c r="R161" s="159">
        <f t="shared" si="0"/>
        <v>32.742537313432834</v>
      </c>
      <c r="S161" s="160">
        <f t="shared" si="1"/>
        <v>63248</v>
      </c>
      <c r="T161" s="151">
        <v>160</v>
      </c>
      <c r="U161" s="159">
        <f t="shared" si="2"/>
        <v>3.6380597014925375</v>
      </c>
      <c r="V161" s="160">
        <f t="shared" si="3"/>
        <v>63248</v>
      </c>
    </row>
    <row r="162" spans="1:22" ht="15.75" customHeight="1" x14ac:dyDescent="0.2">
      <c r="A162" s="151">
        <v>161</v>
      </c>
      <c r="B162" s="151">
        <v>20933</v>
      </c>
      <c r="C162" s="152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58">
        <v>161</v>
      </c>
      <c r="R162" s="159">
        <f t="shared" si="0"/>
        <v>32.97989664734056</v>
      </c>
      <c r="S162" s="160">
        <f t="shared" si="1"/>
        <v>63472</v>
      </c>
      <c r="T162" s="151">
        <v>161</v>
      </c>
      <c r="U162" s="159">
        <f t="shared" si="2"/>
        <v>3.6644329608156174</v>
      </c>
      <c r="V162" s="160">
        <f t="shared" si="3"/>
        <v>63472</v>
      </c>
    </row>
    <row r="163" spans="1:22" ht="15.75" customHeight="1" x14ac:dyDescent="0.2">
      <c r="A163" s="151">
        <v>162</v>
      </c>
      <c r="B163" s="151">
        <v>21159</v>
      </c>
      <c r="C163" s="152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58">
        <v>162</v>
      </c>
      <c r="R163" s="159">
        <f t="shared" si="0"/>
        <v>33.217683443750197</v>
      </c>
      <c r="S163" s="160">
        <f t="shared" si="1"/>
        <v>63698</v>
      </c>
      <c r="T163" s="151">
        <v>162</v>
      </c>
      <c r="U163" s="159">
        <f t="shared" si="2"/>
        <v>3.6908537159722443</v>
      </c>
      <c r="V163" s="160">
        <f t="shared" si="3"/>
        <v>63698</v>
      </c>
    </row>
    <row r="164" spans="1:22" ht="15.75" customHeight="1" x14ac:dyDescent="0.2">
      <c r="A164" s="151">
        <v>163</v>
      </c>
      <c r="B164" s="151">
        <v>21388</v>
      </c>
      <c r="C164" s="152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58">
        <v>163</v>
      </c>
      <c r="R164" s="159">
        <f t="shared" si="0"/>
        <v>33.45691179001048</v>
      </c>
      <c r="S164" s="160">
        <f t="shared" si="1"/>
        <v>63927</v>
      </c>
      <c r="T164" s="151">
        <v>163</v>
      </c>
      <c r="U164" s="159">
        <f t="shared" si="2"/>
        <v>3.7174346433344976</v>
      </c>
      <c r="V164" s="160">
        <f t="shared" si="3"/>
        <v>63927</v>
      </c>
    </row>
    <row r="165" spans="1:22" ht="15.75" customHeight="1" x14ac:dyDescent="0.2">
      <c r="A165" s="151">
        <v>164</v>
      </c>
      <c r="B165" s="151">
        <v>21620</v>
      </c>
      <c r="C165" s="152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58">
        <v>164</v>
      </c>
      <c r="R165" s="159">
        <f t="shared" si="0"/>
        <v>33.69753269221777</v>
      </c>
      <c r="S165" s="160">
        <f t="shared" si="1"/>
        <v>64159</v>
      </c>
      <c r="T165" s="151">
        <v>164</v>
      </c>
      <c r="U165" s="159">
        <f t="shared" si="2"/>
        <v>3.7441702991353076</v>
      </c>
      <c r="V165" s="160">
        <f t="shared" si="3"/>
        <v>64159</v>
      </c>
    </row>
    <row r="166" spans="1:22" ht="15.75" customHeight="1" x14ac:dyDescent="0.2">
      <c r="A166" s="151">
        <v>165</v>
      </c>
      <c r="B166" s="151">
        <v>21854</v>
      </c>
      <c r="C166" s="152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58">
        <v>165</v>
      </c>
      <c r="R166" s="159">
        <f t="shared" si="0"/>
        <v>33.938471572997067</v>
      </c>
      <c r="S166" s="160">
        <f t="shared" si="1"/>
        <v>64393</v>
      </c>
      <c r="T166" s="151">
        <v>165</v>
      </c>
      <c r="U166" s="159">
        <f t="shared" si="2"/>
        <v>3.7709412858885627</v>
      </c>
      <c r="V166" s="160">
        <f t="shared" si="3"/>
        <v>64393</v>
      </c>
    </row>
    <row r="167" spans="1:22" ht="15.75" customHeight="1" x14ac:dyDescent="0.2">
      <c r="A167" s="151">
        <v>166</v>
      </c>
      <c r="B167" s="151">
        <v>22092</v>
      </c>
      <c r="C167" s="152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58">
        <v>166</v>
      </c>
      <c r="R167" s="159">
        <f t="shared" si="0"/>
        <v>34.181739412975197</v>
      </c>
      <c r="S167" s="160">
        <f t="shared" si="1"/>
        <v>64631</v>
      </c>
      <c r="T167" s="151">
        <v>166</v>
      </c>
      <c r="U167" s="159">
        <f t="shared" si="2"/>
        <v>3.7979710458861331</v>
      </c>
      <c r="V167" s="160">
        <f t="shared" si="3"/>
        <v>64631</v>
      </c>
    </row>
    <row r="168" spans="1:22" ht="15.75" customHeight="1" x14ac:dyDescent="0.2">
      <c r="A168" s="151">
        <v>167</v>
      </c>
      <c r="B168" s="151">
        <v>22333</v>
      </c>
      <c r="C168" s="152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58">
        <v>167</v>
      </c>
      <c r="R168" s="159">
        <f t="shared" si="0"/>
        <v>34.426254778641017</v>
      </c>
      <c r="S168" s="160">
        <f t="shared" si="1"/>
        <v>64872</v>
      </c>
      <c r="T168" s="151">
        <v>167</v>
      </c>
      <c r="U168" s="159">
        <f t="shared" si="2"/>
        <v>3.8251394198490019</v>
      </c>
      <c r="V168" s="160">
        <f t="shared" si="3"/>
        <v>64872</v>
      </c>
    </row>
    <row r="169" spans="1:22" ht="15.75" customHeight="1" x14ac:dyDescent="0.2">
      <c r="A169" s="151">
        <v>168</v>
      </c>
      <c r="B169" s="151">
        <v>22576</v>
      </c>
      <c r="C169" s="152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58">
        <v>168</v>
      </c>
      <c r="R169" s="159">
        <f t="shared" si="0"/>
        <v>34.67096675113261</v>
      </c>
      <c r="S169" s="160">
        <f t="shared" si="1"/>
        <v>65115</v>
      </c>
      <c r="T169" s="151">
        <v>168</v>
      </c>
      <c r="U169" s="159">
        <f t="shared" si="2"/>
        <v>3.8523296390147346</v>
      </c>
      <c r="V169" s="160">
        <f t="shared" si="3"/>
        <v>65115</v>
      </c>
    </row>
    <row r="170" spans="1:22" ht="15.75" customHeight="1" x14ac:dyDescent="0.2">
      <c r="A170" s="151">
        <v>169</v>
      </c>
      <c r="B170" s="151">
        <v>22823</v>
      </c>
      <c r="C170" s="152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58">
        <v>169</v>
      </c>
      <c r="R170" s="159">
        <f t="shared" si="0"/>
        <v>34.917842171292193</v>
      </c>
      <c r="S170" s="160">
        <f t="shared" si="1"/>
        <v>65362</v>
      </c>
      <c r="T170" s="151">
        <v>169</v>
      </c>
      <c r="U170" s="159">
        <f t="shared" si="2"/>
        <v>3.8797602412546874</v>
      </c>
      <c r="V170" s="160">
        <f t="shared" si="3"/>
        <v>65362</v>
      </c>
    </row>
    <row r="171" spans="1:22" ht="15.75" customHeight="1" x14ac:dyDescent="0.2">
      <c r="A171" s="151">
        <v>170</v>
      </c>
      <c r="B171" s="151">
        <v>23073</v>
      </c>
      <c r="C171" s="152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58">
        <v>170</v>
      </c>
      <c r="R171" s="159">
        <f t="shared" si="0"/>
        <v>35.165823325001519</v>
      </c>
      <c r="S171" s="160">
        <f t="shared" si="1"/>
        <v>65612</v>
      </c>
      <c r="T171" s="151">
        <v>170</v>
      </c>
      <c r="U171" s="159">
        <f t="shared" si="2"/>
        <v>3.9073137027779468</v>
      </c>
      <c r="V171" s="160">
        <f t="shared" si="3"/>
        <v>65612</v>
      </c>
    </row>
    <row r="172" spans="1:22" ht="15.75" customHeight="1" x14ac:dyDescent="0.2">
      <c r="A172" s="151">
        <v>171</v>
      </c>
      <c r="B172" s="151">
        <v>23326</v>
      </c>
      <c r="C172" s="152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58">
        <v>171</v>
      </c>
      <c r="R172" s="159">
        <f t="shared" si="0"/>
        <v>35.414863736430583</v>
      </c>
      <c r="S172" s="160">
        <f t="shared" si="1"/>
        <v>65865</v>
      </c>
      <c r="T172" s="151">
        <v>171</v>
      </c>
      <c r="U172" s="159">
        <f t="shared" si="2"/>
        <v>3.9349848596033978</v>
      </c>
      <c r="V172" s="160">
        <f t="shared" si="3"/>
        <v>65865</v>
      </c>
    </row>
    <row r="173" spans="1:22" ht="15.75" customHeight="1" x14ac:dyDescent="0.2">
      <c r="A173" s="151">
        <v>172</v>
      </c>
      <c r="B173" s="151">
        <v>23583</v>
      </c>
      <c r="C173" s="152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58">
        <v>172</v>
      </c>
      <c r="R173" s="159">
        <f t="shared" si="0"/>
        <v>35.665890323946641</v>
      </c>
      <c r="S173" s="160">
        <f t="shared" si="1"/>
        <v>66122</v>
      </c>
      <c r="T173" s="151">
        <v>172</v>
      </c>
      <c r="U173" s="159">
        <f t="shared" si="2"/>
        <v>3.9628767026607385</v>
      </c>
      <c r="V173" s="160">
        <f t="shared" si="3"/>
        <v>66122</v>
      </c>
    </row>
    <row r="174" spans="1:22" ht="15.75" customHeight="1" x14ac:dyDescent="0.2">
      <c r="A174" s="151">
        <v>173</v>
      </c>
      <c r="B174" s="151">
        <v>23843</v>
      </c>
      <c r="C174" s="152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58">
        <v>173</v>
      </c>
      <c r="R174" s="159">
        <f t="shared" si="0"/>
        <v>35.917869301919197</v>
      </c>
      <c r="S174" s="160">
        <f t="shared" si="1"/>
        <v>66382</v>
      </c>
      <c r="T174" s="151">
        <v>173</v>
      </c>
      <c r="U174" s="159">
        <f t="shared" si="2"/>
        <v>3.9908743668799103</v>
      </c>
      <c r="V174" s="160">
        <f t="shared" si="3"/>
        <v>66382</v>
      </c>
    </row>
    <row r="175" spans="1:22" ht="15.75" customHeight="1" x14ac:dyDescent="0.2">
      <c r="A175" s="151">
        <v>174</v>
      </c>
      <c r="B175" s="151">
        <v>24106</v>
      </c>
      <c r="C175" s="152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58">
        <v>174</v>
      </c>
      <c r="R175" s="159">
        <f t="shared" si="0"/>
        <v>36.170755495536049</v>
      </c>
      <c r="S175" s="160">
        <f t="shared" si="1"/>
        <v>66645</v>
      </c>
      <c r="T175" s="151">
        <v>174</v>
      </c>
      <c r="U175" s="159">
        <f t="shared" si="2"/>
        <v>4.0189728328373384</v>
      </c>
      <c r="V175" s="160">
        <f t="shared" si="3"/>
        <v>66645</v>
      </c>
    </row>
    <row r="176" spans="1:22" ht="15.75" customHeight="1" x14ac:dyDescent="0.2">
      <c r="A176" s="151">
        <v>175</v>
      </c>
      <c r="B176" s="151">
        <v>24373</v>
      </c>
      <c r="C176" s="152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58">
        <v>175</v>
      </c>
      <c r="R176" s="159">
        <f t="shared" si="0"/>
        <v>36.425454328072689</v>
      </c>
      <c r="S176" s="160">
        <f t="shared" si="1"/>
        <v>66912</v>
      </c>
      <c r="T176" s="151">
        <v>175</v>
      </c>
      <c r="U176" s="159">
        <f t="shared" si="2"/>
        <v>4.0472727031191882</v>
      </c>
      <c r="V176" s="160">
        <f t="shared" si="3"/>
        <v>66912</v>
      </c>
    </row>
    <row r="177" spans="1:22" ht="15.75" customHeight="1" x14ac:dyDescent="0.2">
      <c r="A177" s="151">
        <v>176</v>
      </c>
      <c r="B177" s="151">
        <v>24643</v>
      </c>
      <c r="C177" s="152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58">
        <v>176</v>
      </c>
      <c r="R177" s="159">
        <f t="shared" si="0"/>
        <v>36.680956208508228</v>
      </c>
      <c r="S177" s="160">
        <f t="shared" si="1"/>
        <v>67182</v>
      </c>
      <c r="T177" s="151">
        <v>176</v>
      </c>
      <c r="U177" s="159">
        <f t="shared" si="2"/>
        <v>4.0756618009453591</v>
      </c>
      <c r="V177" s="160">
        <f t="shared" si="3"/>
        <v>67182</v>
      </c>
    </row>
    <row r="178" spans="1:22" ht="15.75" customHeight="1" x14ac:dyDescent="0.2">
      <c r="A178" s="151">
        <v>177</v>
      </c>
      <c r="B178" s="151">
        <v>24917</v>
      </c>
      <c r="C178" s="152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58">
        <v>177</v>
      </c>
      <c r="R178" s="159">
        <f t="shared" si="0"/>
        <v>36.938152277039848</v>
      </c>
      <c r="S178" s="160">
        <f t="shared" si="1"/>
        <v>67456</v>
      </c>
      <c r="T178" s="151">
        <v>177</v>
      </c>
      <c r="U178" s="159">
        <f t="shared" si="2"/>
        <v>4.1042391418933164</v>
      </c>
      <c r="V178" s="160">
        <f t="shared" si="3"/>
        <v>67456</v>
      </c>
    </row>
    <row r="179" spans="1:22" ht="15.75" customHeight="1" x14ac:dyDescent="0.2">
      <c r="A179" s="151">
        <v>178</v>
      </c>
      <c r="B179" s="151">
        <v>25195</v>
      </c>
      <c r="C179" s="152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58">
        <v>178</v>
      </c>
      <c r="R179" s="159">
        <f t="shared" si="0"/>
        <v>37.196976407712526</v>
      </c>
      <c r="S179" s="160">
        <f t="shared" si="1"/>
        <v>67734</v>
      </c>
      <c r="T179" s="151">
        <v>178</v>
      </c>
      <c r="U179" s="159">
        <f t="shared" si="2"/>
        <v>4.1329973786347241</v>
      </c>
      <c r="V179" s="160">
        <f t="shared" si="3"/>
        <v>67734</v>
      </c>
    </row>
    <row r="180" spans="1:22" ht="15.75" customHeight="1" x14ac:dyDescent="0.2">
      <c r="A180" s="151">
        <v>179</v>
      </c>
      <c r="B180" s="151">
        <v>25477</v>
      </c>
      <c r="C180" s="152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58">
        <v>179</v>
      </c>
      <c r="R180" s="159">
        <f t="shared" si="0"/>
        <v>37.457362973418014</v>
      </c>
      <c r="S180" s="160">
        <f t="shared" si="1"/>
        <v>68016</v>
      </c>
      <c r="T180" s="151">
        <v>179</v>
      </c>
      <c r="U180" s="159">
        <f t="shared" si="2"/>
        <v>4.1619292192686688</v>
      </c>
      <c r="V180" s="160">
        <f t="shared" si="3"/>
        <v>68016</v>
      </c>
    </row>
    <row r="181" spans="1:22" ht="15.75" customHeight="1" x14ac:dyDescent="0.2">
      <c r="A181" s="151">
        <v>180</v>
      </c>
      <c r="B181" s="151">
        <v>25762</v>
      </c>
      <c r="C181" s="152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58">
        <v>180</v>
      </c>
      <c r="R181" s="159">
        <f t="shared" si="0"/>
        <v>37.718335017056852</v>
      </c>
      <c r="S181" s="160">
        <f t="shared" si="1"/>
        <v>68301</v>
      </c>
      <c r="T181" s="151">
        <v>180</v>
      </c>
      <c r="U181" s="159">
        <f t="shared" si="2"/>
        <v>4.1909261130063165</v>
      </c>
      <c r="V181" s="160">
        <f t="shared" si="3"/>
        <v>68301</v>
      </c>
    </row>
    <row r="182" spans="1:22" ht="15.75" customHeight="1" x14ac:dyDescent="0.2">
      <c r="A182" s="151">
        <v>181</v>
      </c>
      <c r="B182" s="151">
        <v>26052</v>
      </c>
      <c r="C182" s="152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58">
        <v>181</v>
      </c>
      <c r="R182" s="159">
        <f t="shared" si="0"/>
        <v>37.98165940137919</v>
      </c>
      <c r="S182" s="160">
        <f t="shared" si="1"/>
        <v>68591</v>
      </c>
      <c r="T182" s="151">
        <v>181</v>
      </c>
      <c r="U182" s="159">
        <f t="shared" si="2"/>
        <v>4.2201843779310213</v>
      </c>
      <c r="V182" s="160">
        <f t="shared" si="3"/>
        <v>68591</v>
      </c>
    </row>
    <row r="183" spans="1:22" ht="15.75" customHeight="1" x14ac:dyDescent="0.2">
      <c r="A183" s="151">
        <v>182</v>
      </c>
      <c r="B183" s="151">
        <v>26345</v>
      </c>
      <c r="C183" s="152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58">
        <v>182</v>
      </c>
      <c r="R183" s="159">
        <f t="shared" si="0"/>
        <v>38.24545612914465</v>
      </c>
      <c r="S183" s="160">
        <f t="shared" si="1"/>
        <v>68884</v>
      </c>
      <c r="T183" s="151">
        <v>182</v>
      </c>
      <c r="U183" s="159">
        <f t="shared" si="2"/>
        <v>4.2494951254605162</v>
      </c>
      <c r="V183" s="160">
        <f t="shared" si="3"/>
        <v>68884</v>
      </c>
    </row>
    <row r="184" spans="1:22" ht="15.75" customHeight="1" x14ac:dyDescent="0.2">
      <c r="A184" s="151">
        <v>183</v>
      </c>
      <c r="B184" s="151">
        <v>26643</v>
      </c>
      <c r="C184" s="152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58">
        <v>183</v>
      </c>
      <c r="R184" s="159">
        <f t="shared" si="0"/>
        <v>38.511462519152381</v>
      </c>
      <c r="S184" s="160">
        <f t="shared" si="1"/>
        <v>69182</v>
      </c>
      <c r="T184" s="151">
        <v>183</v>
      </c>
      <c r="U184" s="159">
        <f t="shared" si="2"/>
        <v>4.2790513910169317</v>
      </c>
      <c r="V184" s="160">
        <f t="shared" si="3"/>
        <v>69182</v>
      </c>
    </row>
    <row r="185" spans="1:22" ht="15.75" customHeight="1" x14ac:dyDescent="0.2">
      <c r="A185" s="151">
        <v>184</v>
      </c>
      <c r="B185" s="151">
        <v>26945</v>
      </c>
      <c r="C185" s="152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58">
        <v>184</v>
      </c>
      <c r="R185" s="159">
        <f t="shared" si="0"/>
        <v>38.778711645846528</v>
      </c>
      <c r="S185" s="160">
        <f t="shared" si="1"/>
        <v>69484</v>
      </c>
      <c r="T185" s="151">
        <v>184</v>
      </c>
      <c r="U185" s="159">
        <f t="shared" si="2"/>
        <v>4.3087457384273913</v>
      </c>
      <c r="V185" s="160">
        <f t="shared" si="3"/>
        <v>69484</v>
      </c>
    </row>
    <row r="186" spans="1:22" ht="15.75" customHeight="1" x14ac:dyDescent="0.2">
      <c r="A186" s="151">
        <v>185</v>
      </c>
      <c r="B186" s="151">
        <v>27251</v>
      </c>
      <c r="C186" s="152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58">
        <v>185</v>
      </c>
      <c r="R186" s="159">
        <f t="shared" si="0"/>
        <v>39.047141424272816</v>
      </c>
      <c r="S186" s="160">
        <f t="shared" si="1"/>
        <v>69790</v>
      </c>
      <c r="T186" s="151">
        <v>185</v>
      </c>
      <c r="U186" s="159">
        <f t="shared" si="2"/>
        <v>4.338571269363646</v>
      </c>
      <c r="V186" s="160">
        <f t="shared" si="3"/>
        <v>69790</v>
      </c>
    </row>
    <row r="187" spans="1:22" ht="15.75" customHeight="1" x14ac:dyDescent="0.2">
      <c r="A187" s="151">
        <v>186</v>
      </c>
      <c r="B187" s="151">
        <v>27562</v>
      </c>
      <c r="C187" s="152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58">
        <v>186</v>
      </c>
      <c r="R187" s="159">
        <f t="shared" si="0"/>
        <v>39.317556097630565</v>
      </c>
      <c r="S187" s="160">
        <f t="shared" si="1"/>
        <v>70101</v>
      </c>
      <c r="T187" s="151">
        <v>186</v>
      </c>
      <c r="U187" s="159">
        <f t="shared" si="2"/>
        <v>4.3686173441811738</v>
      </c>
      <c r="V187" s="160">
        <f t="shared" si="3"/>
        <v>70101</v>
      </c>
    </row>
    <row r="188" spans="1:22" ht="15.75" customHeight="1" x14ac:dyDescent="0.2">
      <c r="A188" s="151">
        <v>187</v>
      </c>
      <c r="B188" s="151">
        <v>27877</v>
      </c>
      <c r="C188" s="152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58">
        <v>187</v>
      </c>
      <c r="R188" s="159">
        <f t="shared" si="0"/>
        <v>39.589013860486254</v>
      </c>
      <c r="S188" s="160">
        <f t="shared" si="1"/>
        <v>70416</v>
      </c>
      <c r="T188" s="151">
        <v>187</v>
      </c>
      <c r="U188" s="159">
        <f t="shared" si="2"/>
        <v>4.3987793178318055</v>
      </c>
      <c r="V188" s="160">
        <f t="shared" si="3"/>
        <v>70416</v>
      </c>
    </row>
    <row r="189" spans="1:22" ht="15.75" customHeight="1" x14ac:dyDescent="0.2">
      <c r="A189" s="151">
        <v>188</v>
      </c>
      <c r="B189" s="151">
        <v>28196</v>
      </c>
      <c r="C189" s="152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58">
        <v>188</v>
      </c>
      <c r="R189" s="159">
        <f t="shared" si="0"/>
        <v>39.861454725383474</v>
      </c>
      <c r="S189" s="160">
        <f t="shared" si="1"/>
        <v>70735</v>
      </c>
      <c r="T189" s="151">
        <v>188</v>
      </c>
      <c r="U189" s="159">
        <f t="shared" si="2"/>
        <v>4.4290505250426078</v>
      </c>
      <c r="V189" s="160">
        <f t="shared" si="3"/>
        <v>70735</v>
      </c>
    </row>
    <row r="190" spans="1:22" ht="15.75" customHeight="1" x14ac:dyDescent="0.2">
      <c r="A190" s="151">
        <v>189</v>
      </c>
      <c r="B190" s="151">
        <v>28520</v>
      </c>
      <c r="C190" s="152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58">
        <v>189</v>
      </c>
      <c r="R190" s="159">
        <f t="shared" si="0"/>
        <v>40.135661914746898</v>
      </c>
      <c r="S190" s="160">
        <f t="shared" si="1"/>
        <v>71059</v>
      </c>
      <c r="T190" s="151">
        <v>189</v>
      </c>
      <c r="U190" s="159">
        <f t="shared" si="2"/>
        <v>4.4595179905274334</v>
      </c>
      <c r="V190" s="160">
        <f t="shared" si="3"/>
        <v>71059</v>
      </c>
    </row>
    <row r="191" spans="1:22" ht="15.75" customHeight="1" x14ac:dyDescent="0.2">
      <c r="A191" s="151">
        <v>190</v>
      </c>
      <c r="B191" s="151">
        <v>28849</v>
      </c>
      <c r="C191" s="152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58">
        <v>190</v>
      </c>
      <c r="R191" s="159">
        <f t="shared" si="0"/>
        <v>40.411553762537125</v>
      </c>
      <c r="S191" s="160">
        <f t="shared" si="1"/>
        <v>71388</v>
      </c>
      <c r="T191" s="151">
        <v>190</v>
      </c>
      <c r="U191" s="159">
        <f t="shared" si="2"/>
        <v>4.4901726402819024</v>
      </c>
      <c r="V191" s="160">
        <f t="shared" si="3"/>
        <v>71388</v>
      </c>
    </row>
    <row r="192" spans="1:22" ht="15.75" customHeight="1" x14ac:dyDescent="0.2">
      <c r="A192" s="151">
        <v>191</v>
      </c>
      <c r="B192" s="151">
        <v>29183</v>
      </c>
      <c r="C192" s="152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58">
        <v>191</v>
      </c>
      <c r="R192" s="159">
        <f t="shared" si="0"/>
        <v>40.689049385125905</v>
      </c>
      <c r="S192" s="160">
        <f t="shared" si="1"/>
        <v>71722</v>
      </c>
      <c r="T192" s="151">
        <v>191</v>
      </c>
      <c r="U192" s="159">
        <f t="shared" si="2"/>
        <v>4.5210054872362111</v>
      </c>
      <c r="V192" s="160">
        <f t="shared" si="3"/>
        <v>71722</v>
      </c>
    </row>
    <row r="193" spans="1:22" ht="15.75" customHeight="1" x14ac:dyDescent="0.2">
      <c r="A193" s="151">
        <v>192</v>
      </c>
      <c r="B193" s="151">
        <v>29522</v>
      </c>
      <c r="C193" s="152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58">
        <v>192</v>
      </c>
      <c r="R193" s="159">
        <f t="shared" si="0"/>
        <v>40.968068719557046</v>
      </c>
      <c r="S193" s="160">
        <f t="shared" si="1"/>
        <v>72061</v>
      </c>
      <c r="T193" s="151">
        <v>192</v>
      </c>
      <c r="U193" s="159">
        <f t="shared" si="2"/>
        <v>4.5520076355063379</v>
      </c>
      <c r="V193" s="160">
        <f t="shared" si="3"/>
        <v>72061</v>
      </c>
    </row>
    <row r="194" spans="1:22" ht="15.75" customHeight="1" x14ac:dyDescent="0.2">
      <c r="A194" s="151">
        <v>193</v>
      </c>
      <c r="B194" s="151">
        <v>29865</v>
      </c>
      <c r="C194" s="152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58">
        <v>193</v>
      </c>
      <c r="R194" s="159">
        <f t="shared" si="0"/>
        <v>41.247721120380085</v>
      </c>
      <c r="S194" s="160">
        <f t="shared" si="1"/>
        <v>72404</v>
      </c>
      <c r="T194" s="151">
        <v>193</v>
      </c>
      <c r="U194" s="159">
        <f t="shared" si="2"/>
        <v>4.5830801244866768</v>
      </c>
      <c r="V194" s="160">
        <f t="shared" si="3"/>
        <v>72404</v>
      </c>
    </row>
    <row r="195" spans="1:22" ht="15.75" customHeight="1" x14ac:dyDescent="0.2">
      <c r="A195" s="151">
        <v>194</v>
      </c>
      <c r="B195" s="151">
        <v>30214</v>
      </c>
      <c r="C195" s="152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58">
        <v>194</v>
      </c>
      <c r="R195" s="159">
        <f t="shared" si="0"/>
        <v>41.529558918532565</v>
      </c>
      <c r="S195" s="160">
        <f t="shared" si="1"/>
        <v>72753</v>
      </c>
      <c r="T195" s="151">
        <v>194</v>
      </c>
      <c r="U195" s="159">
        <f t="shared" si="2"/>
        <v>4.6143954353925078</v>
      </c>
      <c r="V195" s="160">
        <f t="shared" si="3"/>
        <v>72753</v>
      </c>
    </row>
    <row r="196" spans="1:22" ht="15.75" customHeight="1" x14ac:dyDescent="0.2">
      <c r="A196" s="151">
        <v>195</v>
      </c>
      <c r="B196" s="151">
        <v>30568</v>
      </c>
      <c r="C196" s="152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58">
        <v>195</v>
      </c>
      <c r="R196" s="159">
        <f t="shared" si="0"/>
        <v>41.812685515750886</v>
      </c>
      <c r="S196" s="160">
        <f t="shared" si="1"/>
        <v>73107</v>
      </c>
      <c r="T196" s="151">
        <v>195</v>
      </c>
      <c r="U196" s="159">
        <f t="shared" si="2"/>
        <v>4.6458539461945429</v>
      </c>
      <c r="V196" s="160">
        <f t="shared" si="3"/>
        <v>73107</v>
      </c>
    </row>
    <row r="197" spans="1:22" ht="15.75" customHeight="1" x14ac:dyDescent="0.2">
      <c r="A197" s="151">
        <v>196</v>
      </c>
      <c r="B197" s="151">
        <v>30928</v>
      </c>
      <c r="C197" s="152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58">
        <v>196</v>
      </c>
      <c r="R197" s="159">
        <f t="shared" si="0"/>
        <v>42.097812623354699</v>
      </c>
      <c r="S197" s="160">
        <f t="shared" si="1"/>
        <v>73467</v>
      </c>
      <c r="T197" s="151">
        <v>196</v>
      </c>
      <c r="U197" s="159">
        <f t="shared" si="2"/>
        <v>4.6775347359283002</v>
      </c>
      <c r="V197" s="160">
        <f t="shared" si="3"/>
        <v>73467</v>
      </c>
    </row>
    <row r="198" spans="1:22" ht="15.75" customHeight="1" x14ac:dyDescent="0.2">
      <c r="A198" s="151">
        <v>197</v>
      </c>
      <c r="B198" s="151">
        <v>31292</v>
      </c>
      <c r="C198" s="152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58">
        <v>197</v>
      </c>
      <c r="R198" s="159">
        <f t="shared" si="0"/>
        <v>42.38328073573431</v>
      </c>
      <c r="S198" s="160">
        <f t="shared" si="1"/>
        <v>73831</v>
      </c>
      <c r="T198" s="151">
        <v>197</v>
      </c>
      <c r="U198" s="159">
        <f t="shared" si="2"/>
        <v>4.7092534150815899</v>
      </c>
      <c r="V198" s="160">
        <f t="shared" si="3"/>
        <v>73831</v>
      </c>
    </row>
    <row r="199" spans="1:22" ht="15.75" customHeight="1" x14ac:dyDescent="0.2">
      <c r="A199" s="151">
        <v>198</v>
      </c>
      <c r="B199" s="151">
        <v>31663</v>
      </c>
      <c r="C199" s="152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58">
        <v>198</v>
      </c>
      <c r="R199" s="159">
        <f t="shared" si="0"/>
        <v>42.671356567208427</v>
      </c>
      <c r="S199" s="160">
        <f t="shared" si="1"/>
        <v>74202</v>
      </c>
      <c r="T199" s="151">
        <v>198</v>
      </c>
      <c r="U199" s="159">
        <f t="shared" si="2"/>
        <v>4.741261840800937</v>
      </c>
      <c r="V199" s="160">
        <f t="shared" si="3"/>
        <v>74202</v>
      </c>
    </row>
    <row r="200" spans="1:22" ht="15.75" customHeight="1" x14ac:dyDescent="0.2">
      <c r="A200" s="151">
        <v>199</v>
      </c>
      <c r="B200" s="151">
        <v>32039</v>
      </c>
      <c r="C200" s="152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58">
        <v>199</v>
      </c>
      <c r="R200" s="159">
        <f t="shared" si="0"/>
        <v>42.960390463675616</v>
      </c>
      <c r="S200" s="160">
        <f t="shared" si="1"/>
        <v>74578</v>
      </c>
      <c r="T200" s="151">
        <v>199</v>
      </c>
      <c r="U200" s="159">
        <f t="shared" si="2"/>
        <v>4.7733767181861797</v>
      </c>
      <c r="V200" s="160">
        <f t="shared" si="3"/>
        <v>74578</v>
      </c>
    </row>
    <row r="201" spans="1:22" ht="15.75" customHeight="1" x14ac:dyDescent="0.2">
      <c r="A201" s="151">
        <v>200</v>
      </c>
      <c r="B201" s="151">
        <v>32420</v>
      </c>
      <c r="C201" s="152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58">
        <v>200</v>
      </c>
      <c r="R201" s="159">
        <f t="shared" si="0"/>
        <v>43.250310169559356</v>
      </c>
      <c r="S201" s="160">
        <f t="shared" si="1"/>
        <v>74959</v>
      </c>
      <c r="T201" s="151">
        <v>200</v>
      </c>
      <c r="U201" s="159">
        <f t="shared" si="2"/>
        <v>4.8055900188399292</v>
      </c>
      <c r="V201" s="160">
        <f t="shared" si="3"/>
        <v>74959</v>
      </c>
    </row>
    <row r="202" spans="1:22" ht="15.75" customHeight="1" x14ac:dyDescent="0.2">
      <c r="A202" s="151">
        <v>201</v>
      </c>
      <c r="B202" s="151">
        <v>32808</v>
      </c>
      <c r="C202" s="152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58">
        <v>201</v>
      </c>
      <c r="R202" s="159">
        <f t="shared" si="0"/>
        <v>43.542543166947588</v>
      </c>
      <c r="S202" s="160">
        <f t="shared" si="1"/>
        <v>75347</v>
      </c>
      <c r="T202" s="151">
        <v>201</v>
      </c>
      <c r="U202" s="159">
        <f t="shared" si="2"/>
        <v>4.8380603518830654</v>
      </c>
      <c r="V202" s="160">
        <f t="shared" si="3"/>
        <v>75347</v>
      </c>
    </row>
    <row r="203" spans="1:22" ht="15.75" customHeight="1" x14ac:dyDescent="0.2">
      <c r="A203" s="151">
        <v>202</v>
      </c>
      <c r="B203" s="151">
        <v>33202</v>
      </c>
      <c r="C203" s="152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58">
        <v>202</v>
      </c>
      <c r="R203" s="159">
        <f t="shared" si="0"/>
        <v>43.836231367423188</v>
      </c>
      <c r="S203" s="160">
        <f t="shared" si="1"/>
        <v>75741</v>
      </c>
      <c r="T203" s="151">
        <v>202</v>
      </c>
      <c r="U203" s="159">
        <f t="shared" si="2"/>
        <v>4.8706923741581329</v>
      </c>
      <c r="V203" s="160">
        <f t="shared" si="3"/>
        <v>75741</v>
      </c>
    </row>
    <row r="204" spans="1:22" ht="15.75" customHeight="1" x14ac:dyDescent="0.2">
      <c r="A204" s="151">
        <v>203</v>
      </c>
      <c r="B204" s="151">
        <v>33602</v>
      </c>
      <c r="C204" s="152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58">
        <v>203</v>
      </c>
      <c r="R204" s="159">
        <f t="shared" si="0"/>
        <v>44.131282751736912</v>
      </c>
      <c r="S204" s="160">
        <f t="shared" si="1"/>
        <v>76141</v>
      </c>
      <c r="T204" s="151">
        <v>203</v>
      </c>
      <c r="U204" s="159">
        <f t="shared" si="2"/>
        <v>4.9034758613041012</v>
      </c>
      <c r="V204" s="160">
        <f t="shared" si="3"/>
        <v>76141</v>
      </c>
    </row>
    <row r="205" spans="1:22" ht="15.75" customHeight="1" x14ac:dyDescent="0.2">
      <c r="A205" s="151">
        <v>204</v>
      </c>
      <c r="B205" s="151">
        <v>34008</v>
      </c>
      <c r="C205" s="152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58">
        <v>204</v>
      </c>
      <c r="R205" s="159">
        <f t="shared" si="0"/>
        <v>44.427606568513461</v>
      </c>
      <c r="S205" s="160">
        <f t="shared" si="1"/>
        <v>76547</v>
      </c>
      <c r="T205" s="151">
        <v>204</v>
      </c>
      <c r="U205" s="159">
        <f t="shared" si="2"/>
        <v>4.9364007298348289</v>
      </c>
      <c r="V205" s="160">
        <f t="shared" si="3"/>
        <v>76547</v>
      </c>
    </row>
    <row r="206" spans="1:22" ht="15.75" customHeight="1" x14ac:dyDescent="0.2">
      <c r="A206" s="151">
        <v>205</v>
      </c>
      <c r="B206" s="151">
        <v>34420</v>
      </c>
      <c r="C206" s="152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58">
        <v>205</v>
      </c>
      <c r="R206" s="159">
        <f t="shared" si="0"/>
        <v>44.725113372055255</v>
      </c>
      <c r="S206" s="160">
        <f t="shared" si="1"/>
        <v>76959</v>
      </c>
      <c r="T206" s="151">
        <v>205</v>
      </c>
      <c r="U206" s="159">
        <f t="shared" si="2"/>
        <v>4.9694570413394725</v>
      </c>
      <c r="V206" s="160">
        <f t="shared" si="3"/>
        <v>76959</v>
      </c>
    </row>
    <row r="207" spans="1:22" ht="15.75" customHeight="1" x14ac:dyDescent="0.2">
      <c r="A207" s="151">
        <v>206</v>
      </c>
      <c r="B207" s="151">
        <v>34839</v>
      </c>
      <c r="C207" s="152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58">
        <v>206</v>
      </c>
      <c r="R207" s="159">
        <f t="shared" si="0"/>
        <v>45.024425547313193</v>
      </c>
      <c r="S207" s="160">
        <f t="shared" si="1"/>
        <v>77378</v>
      </c>
      <c r="T207" s="151">
        <v>206</v>
      </c>
      <c r="U207" s="159">
        <f t="shared" si="2"/>
        <v>5.0027139497014659</v>
      </c>
      <c r="V207" s="160">
        <f t="shared" si="3"/>
        <v>77378</v>
      </c>
    </row>
    <row r="208" spans="1:22" ht="15.75" customHeight="1" x14ac:dyDescent="0.2">
      <c r="A208" s="151">
        <v>207</v>
      </c>
      <c r="B208" s="151">
        <v>35264</v>
      </c>
      <c r="C208" s="152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58">
        <v>207</v>
      </c>
      <c r="R208" s="159">
        <f t="shared" si="0"/>
        <v>45.324730408853128</v>
      </c>
      <c r="S208" s="160">
        <f t="shared" si="1"/>
        <v>77803</v>
      </c>
      <c r="T208" s="151">
        <v>207</v>
      </c>
      <c r="U208" s="159">
        <f t="shared" si="2"/>
        <v>5.036081156539236</v>
      </c>
      <c r="V208" s="160">
        <f t="shared" si="3"/>
        <v>77803</v>
      </c>
    </row>
    <row r="209" spans="1:22" ht="15.75" customHeight="1" x14ac:dyDescent="0.2">
      <c r="A209" s="151">
        <v>208</v>
      </c>
      <c r="B209" s="151">
        <v>35697</v>
      </c>
      <c r="C209" s="152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58">
        <v>208</v>
      </c>
      <c r="R209" s="159">
        <f t="shared" si="0"/>
        <v>45.627332685720127</v>
      </c>
      <c r="S209" s="160">
        <f t="shared" si="1"/>
        <v>78236</v>
      </c>
      <c r="T209" s="151">
        <v>208</v>
      </c>
      <c r="U209" s="159">
        <f t="shared" si="2"/>
        <v>5.0697036317466813</v>
      </c>
      <c r="V209" s="160">
        <f t="shared" si="3"/>
        <v>78236</v>
      </c>
    </row>
    <row r="210" spans="1:22" ht="15.75" customHeight="1" x14ac:dyDescent="0.2">
      <c r="A210" s="151">
        <v>209</v>
      </c>
      <c r="B210" s="151">
        <v>36136</v>
      </c>
      <c r="C210" s="152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58">
        <v>209</v>
      </c>
      <c r="R210" s="159">
        <f t="shared" si="0"/>
        <v>45.930727677152845</v>
      </c>
      <c r="S210" s="160">
        <f t="shared" si="1"/>
        <v>78675</v>
      </c>
      <c r="T210" s="151">
        <v>209</v>
      </c>
      <c r="U210" s="159">
        <f t="shared" si="2"/>
        <v>5.1034141863503164</v>
      </c>
      <c r="V210" s="160">
        <f t="shared" si="3"/>
        <v>78675</v>
      </c>
    </row>
    <row r="211" spans="1:22" ht="15.75" customHeight="1" x14ac:dyDescent="0.2">
      <c r="A211" s="151">
        <v>210</v>
      </c>
      <c r="B211" s="151">
        <v>36582</v>
      </c>
      <c r="C211" s="152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58">
        <v>210</v>
      </c>
      <c r="R211" s="159">
        <f t="shared" si="0"/>
        <v>46.23551269574449</v>
      </c>
      <c r="S211" s="160">
        <f t="shared" si="1"/>
        <v>79121</v>
      </c>
      <c r="T211" s="151">
        <v>210</v>
      </c>
      <c r="U211" s="159">
        <f t="shared" si="2"/>
        <v>5.1372791884160547</v>
      </c>
      <c r="V211" s="160">
        <f t="shared" si="3"/>
        <v>79121</v>
      </c>
    </row>
    <row r="212" spans="1:22" ht="15.75" customHeight="1" x14ac:dyDescent="0.2">
      <c r="A212" s="151">
        <v>211</v>
      </c>
      <c r="B212" s="151">
        <v>37035</v>
      </c>
      <c r="C212" s="152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58">
        <v>211</v>
      </c>
      <c r="R212" s="159">
        <f t="shared" si="0"/>
        <v>46.541583934450955</v>
      </c>
      <c r="S212" s="160">
        <f t="shared" si="1"/>
        <v>79574</v>
      </c>
      <c r="T212" s="151">
        <v>211</v>
      </c>
      <c r="U212" s="159">
        <f t="shared" si="2"/>
        <v>5.1712871038278836</v>
      </c>
      <c r="V212" s="160">
        <f t="shared" si="3"/>
        <v>79574</v>
      </c>
    </row>
    <row r="213" spans="1:22" ht="15.75" customHeight="1" x14ac:dyDescent="0.2">
      <c r="A213" s="151">
        <v>212</v>
      </c>
      <c r="B213" s="151">
        <v>37496</v>
      </c>
      <c r="C213" s="152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58">
        <v>212</v>
      </c>
      <c r="R213" s="159">
        <f t="shared" si="0"/>
        <v>46.849503342287754</v>
      </c>
      <c r="S213" s="160">
        <f t="shared" si="1"/>
        <v>80035</v>
      </c>
      <c r="T213" s="151">
        <v>212</v>
      </c>
      <c r="U213" s="159">
        <f t="shared" si="2"/>
        <v>5.2055003713653063</v>
      </c>
      <c r="V213" s="160">
        <f t="shared" si="3"/>
        <v>80035</v>
      </c>
    </row>
    <row r="214" spans="1:22" ht="15.75" customHeight="1" x14ac:dyDescent="0.2">
      <c r="A214" s="151">
        <v>213</v>
      </c>
      <c r="B214" s="151">
        <v>37964</v>
      </c>
      <c r="C214" s="152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58">
        <v>213</v>
      </c>
      <c r="R214" s="159">
        <f t="shared" si="0"/>
        <v>47.158490987913495</v>
      </c>
      <c r="S214" s="160">
        <f t="shared" si="1"/>
        <v>80503</v>
      </c>
      <c r="T214" s="151">
        <v>213</v>
      </c>
      <c r="U214" s="159">
        <f t="shared" si="2"/>
        <v>5.2398323319903888</v>
      </c>
      <c r="V214" s="160">
        <f t="shared" si="3"/>
        <v>80503</v>
      </c>
    </row>
    <row r="215" spans="1:22" ht="15.75" customHeight="1" x14ac:dyDescent="0.2">
      <c r="A215" s="151">
        <v>214</v>
      </c>
      <c r="B215" s="151">
        <v>38440</v>
      </c>
      <c r="C215" s="152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58">
        <v>214</v>
      </c>
      <c r="R215" s="159">
        <f t="shared" si="0"/>
        <v>47.469096926363626</v>
      </c>
      <c r="S215" s="160">
        <f t="shared" si="1"/>
        <v>80979</v>
      </c>
      <c r="T215" s="151">
        <v>214</v>
      </c>
      <c r="U215" s="159">
        <f t="shared" si="2"/>
        <v>5.2743441029292919</v>
      </c>
      <c r="V215" s="160">
        <f t="shared" si="3"/>
        <v>80979</v>
      </c>
    </row>
    <row r="216" spans="1:22" ht="15.75" customHeight="1" x14ac:dyDescent="0.2">
      <c r="A216" s="151">
        <v>215</v>
      </c>
      <c r="B216" s="151">
        <v>38924</v>
      </c>
      <c r="C216" s="152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58">
        <v>215</v>
      </c>
      <c r="R216" s="159">
        <f t="shared" si="0"/>
        <v>47.781201281563405</v>
      </c>
      <c r="S216" s="160">
        <f t="shared" si="1"/>
        <v>81463</v>
      </c>
      <c r="T216" s="151">
        <v>215</v>
      </c>
      <c r="U216" s="159">
        <f t="shared" si="2"/>
        <v>5.3090223646181567</v>
      </c>
      <c r="V216" s="160">
        <f t="shared" si="3"/>
        <v>81463</v>
      </c>
    </row>
    <row r="217" spans="1:22" ht="15.75" customHeight="1" x14ac:dyDescent="0.2">
      <c r="A217" s="151">
        <v>216</v>
      </c>
      <c r="B217" s="151">
        <v>39415</v>
      </c>
      <c r="C217" s="152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58">
        <v>216</v>
      </c>
      <c r="R217" s="159">
        <f t="shared" si="0"/>
        <v>48.094052761305122</v>
      </c>
      <c r="S217" s="160">
        <f t="shared" si="1"/>
        <v>81954</v>
      </c>
      <c r="T217" s="151">
        <v>216</v>
      </c>
      <c r="U217" s="159">
        <f t="shared" si="2"/>
        <v>5.3437836401450136</v>
      </c>
      <c r="V217" s="160">
        <f t="shared" si="3"/>
        <v>81954</v>
      </c>
    </row>
    <row r="218" spans="1:22" ht="15.75" customHeight="1" x14ac:dyDescent="0.2">
      <c r="A218" s="151">
        <v>217</v>
      </c>
      <c r="B218" s="151">
        <v>39915</v>
      </c>
      <c r="C218" s="152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58">
        <v>217</v>
      </c>
      <c r="R218" s="159">
        <f t="shared" si="0"/>
        <v>48.408809760593783</v>
      </c>
      <c r="S218" s="160">
        <f t="shared" si="1"/>
        <v>82454</v>
      </c>
      <c r="T218" s="151">
        <v>217</v>
      </c>
      <c r="U218" s="159">
        <f t="shared" si="2"/>
        <v>5.3787566400659763</v>
      </c>
      <c r="V218" s="160">
        <f t="shared" si="3"/>
        <v>82454</v>
      </c>
    </row>
    <row r="219" spans="1:22" ht="15.75" customHeight="1" x14ac:dyDescent="0.2">
      <c r="A219" s="151">
        <v>218</v>
      </c>
      <c r="B219" s="151">
        <v>40423</v>
      </c>
      <c r="C219" s="152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58">
        <v>218</v>
      </c>
      <c r="R219" s="159">
        <f t="shared" si="0"/>
        <v>48.724717340469134</v>
      </c>
      <c r="S219" s="160">
        <f t="shared" si="1"/>
        <v>82962</v>
      </c>
      <c r="T219" s="151">
        <v>218</v>
      </c>
      <c r="U219" s="159">
        <f t="shared" si="2"/>
        <v>5.4138574822743477</v>
      </c>
      <c r="V219" s="160">
        <f t="shared" si="3"/>
        <v>82962</v>
      </c>
    </row>
    <row r="220" spans="1:22" ht="15.75" customHeight="1" x14ac:dyDescent="0.2">
      <c r="A220" s="151">
        <v>219</v>
      </c>
      <c r="B220" s="151">
        <v>40939</v>
      </c>
      <c r="C220" s="152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58">
        <v>219</v>
      </c>
      <c r="R220" s="159">
        <f t="shared" si="0"/>
        <v>49.041663671865642</v>
      </c>
      <c r="S220" s="160">
        <f t="shared" si="1"/>
        <v>83478</v>
      </c>
      <c r="T220" s="151">
        <v>219</v>
      </c>
      <c r="U220" s="159">
        <f t="shared" si="2"/>
        <v>5.4490737413184043</v>
      </c>
      <c r="V220" s="160">
        <f t="shared" si="3"/>
        <v>83478</v>
      </c>
    </row>
    <row r="221" spans="1:22" ht="15.75" customHeight="1" x14ac:dyDescent="0.2">
      <c r="A221" s="151">
        <v>220</v>
      </c>
      <c r="B221" s="151">
        <v>41464</v>
      </c>
      <c r="C221" s="152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58">
        <v>220</v>
      </c>
      <c r="R221" s="159">
        <f t="shared" si="0"/>
        <v>49.360141899694057</v>
      </c>
      <c r="S221" s="160">
        <f t="shared" si="1"/>
        <v>84003</v>
      </c>
      <c r="T221" s="151">
        <v>220</v>
      </c>
      <c r="U221" s="159">
        <f t="shared" si="2"/>
        <v>5.4844602110771179</v>
      </c>
      <c r="V221" s="160">
        <f t="shared" si="3"/>
        <v>84003</v>
      </c>
    </row>
    <row r="222" spans="1:22" ht="15.75" customHeight="1" x14ac:dyDescent="0.2">
      <c r="A222" s="151">
        <v>221</v>
      </c>
      <c r="B222" s="151">
        <v>41997</v>
      </c>
      <c r="C222" s="152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58">
        <v>221</v>
      </c>
      <c r="R222" s="159">
        <f t="shared" si="0"/>
        <v>49.679426516513672</v>
      </c>
      <c r="S222" s="160">
        <f t="shared" si="1"/>
        <v>84536</v>
      </c>
      <c r="T222" s="151">
        <v>221</v>
      </c>
      <c r="U222" s="159">
        <f t="shared" si="2"/>
        <v>5.5199362796126294</v>
      </c>
      <c r="V222" s="160">
        <f t="shared" si="3"/>
        <v>84536</v>
      </c>
    </row>
    <row r="223" spans="1:22" ht="15.75" customHeight="1" x14ac:dyDescent="0.2">
      <c r="A223" s="151">
        <v>222</v>
      </c>
      <c r="B223" s="151">
        <v>42539</v>
      </c>
      <c r="C223" s="152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58">
        <v>222</v>
      </c>
      <c r="R223" s="159">
        <f t="shared" si="0"/>
        <v>50</v>
      </c>
      <c r="S223" s="160">
        <f t="shared" si="1"/>
        <v>85078</v>
      </c>
      <c r="T223" s="151">
        <v>222</v>
      </c>
      <c r="U223" s="159">
        <f t="shared" si="2"/>
        <v>5.5555555555555562</v>
      </c>
      <c r="V223" s="160">
        <f t="shared" si="3"/>
        <v>85078</v>
      </c>
    </row>
    <row r="224" spans="1:22" ht="15.75" customHeight="1" x14ac:dyDescent="0.2">
      <c r="A224" s="151">
        <v>223</v>
      </c>
      <c r="B224" s="151">
        <v>43091</v>
      </c>
      <c r="C224" s="152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58">
        <v>223</v>
      </c>
      <c r="R224" s="159">
        <f t="shared" si="0"/>
        <v>50.322316944995919</v>
      </c>
      <c r="S224" s="160">
        <f t="shared" si="1"/>
        <v>85630</v>
      </c>
      <c r="T224" s="151">
        <v>223</v>
      </c>
      <c r="U224" s="159">
        <f t="shared" si="2"/>
        <v>5.59136854944399</v>
      </c>
      <c r="V224" s="160">
        <f t="shared" si="3"/>
        <v>85630</v>
      </c>
    </row>
    <row r="225" spans="1:22" ht="15.75" customHeight="1" x14ac:dyDescent="0.2">
      <c r="A225" s="151">
        <v>224</v>
      </c>
      <c r="B225" s="151">
        <v>43652</v>
      </c>
      <c r="C225" s="152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58">
        <v>224</v>
      </c>
      <c r="R225" s="159">
        <f t="shared" si="0"/>
        <v>50.64565905953058</v>
      </c>
      <c r="S225" s="160">
        <f t="shared" si="1"/>
        <v>86191</v>
      </c>
      <c r="T225" s="151">
        <v>224</v>
      </c>
      <c r="U225" s="159">
        <f t="shared" si="2"/>
        <v>5.6272954510589539</v>
      </c>
      <c r="V225" s="160">
        <f t="shared" si="3"/>
        <v>86191</v>
      </c>
    </row>
    <row r="226" spans="1:22" ht="15.75" customHeight="1" x14ac:dyDescent="0.2">
      <c r="A226" s="151">
        <v>225</v>
      </c>
      <c r="B226" s="151">
        <v>44222</v>
      </c>
      <c r="C226" s="152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58">
        <v>225</v>
      </c>
      <c r="R226" s="159">
        <f t="shared" si="0"/>
        <v>50.969905833266097</v>
      </c>
      <c r="S226" s="160">
        <f t="shared" si="1"/>
        <v>86761</v>
      </c>
      <c r="T226" s="151">
        <v>225</v>
      </c>
      <c r="U226" s="159">
        <f t="shared" si="2"/>
        <v>5.6633228703628999</v>
      </c>
      <c r="V226" s="160">
        <f t="shared" si="3"/>
        <v>86761</v>
      </c>
    </row>
    <row r="227" spans="1:22" ht="15.75" customHeight="1" x14ac:dyDescent="0.2">
      <c r="A227" s="151">
        <v>226</v>
      </c>
      <c r="B227" s="151">
        <v>44802</v>
      </c>
      <c r="C227" s="152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58">
        <v>226</v>
      </c>
      <c r="R227" s="159">
        <f t="shared" si="0"/>
        <v>51.295496960190526</v>
      </c>
      <c r="S227" s="160">
        <f t="shared" si="1"/>
        <v>87341</v>
      </c>
      <c r="T227" s="151">
        <v>226</v>
      </c>
      <c r="U227" s="159">
        <f t="shared" si="2"/>
        <v>5.6994996622433911</v>
      </c>
      <c r="V227" s="160">
        <f t="shared" si="3"/>
        <v>87341</v>
      </c>
    </row>
    <row r="228" spans="1:22" ht="15.75" customHeight="1" x14ac:dyDescent="0.2">
      <c r="A228" s="151">
        <v>227</v>
      </c>
      <c r="B228" s="151">
        <v>45392</v>
      </c>
      <c r="C228" s="152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58">
        <v>227</v>
      </c>
      <c r="R228" s="159">
        <f t="shared" si="0"/>
        <v>51.622294753841082</v>
      </c>
      <c r="S228" s="160">
        <f t="shared" si="1"/>
        <v>87931</v>
      </c>
      <c r="T228" s="151">
        <v>227</v>
      </c>
      <c r="U228" s="159">
        <f t="shared" si="2"/>
        <v>5.7358105282045644</v>
      </c>
      <c r="V228" s="160">
        <f t="shared" si="3"/>
        <v>87931</v>
      </c>
    </row>
    <row r="229" spans="1:22" ht="15.75" customHeight="1" x14ac:dyDescent="0.2">
      <c r="A229" s="151">
        <v>228</v>
      </c>
      <c r="B229" s="151">
        <v>45992</v>
      </c>
      <c r="C229" s="152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58">
        <v>228</v>
      </c>
      <c r="R229" s="159">
        <f t="shared" si="0"/>
        <v>51.950164349211015</v>
      </c>
      <c r="S229" s="160">
        <f t="shared" si="1"/>
        <v>88531</v>
      </c>
      <c r="T229" s="151">
        <v>228</v>
      </c>
      <c r="U229" s="159">
        <f t="shared" si="2"/>
        <v>5.7722404832456684</v>
      </c>
      <c r="V229" s="160">
        <f t="shared" si="3"/>
        <v>88531</v>
      </c>
    </row>
    <row r="230" spans="1:22" ht="15.75" customHeight="1" x14ac:dyDescent="0.2">
      <c r="A230" s="151">
        <v>229</v>
      </c>
      <c r="B230" s="151">
        <v>46602</v>
      </c>
      <c r="C230" s="152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58">
        <v>229</v>
      </c>
      <c r="R230" s="159">
        <f t="shared" si="0"/>
        <v>52.278973760671299</v>
      </c>
      <c r="S230" s="160">
        <f t="shared" si="1"/>
        <v>89141</v>
      </c>
      <c r="T230" s="151">
        <v>229</v>
      </c>
      <c r="U230" s="159">
        <f t="shared" si="2"/>
        <v>5.8087748622968105</v>
      </c>
      <c r="V230" s="160">
        <f t="shared" si="3"/>
        <v>89141</v>
      </c>
    </row>
    <row r="231" spans="1:22" ht="15.75" customHeight="1" x14ac:dyDescent="0.2">
      <c r="A231" s="151">
        <v>230</v>
      </c>
      <c r="B231" s="151">
        <v>47222</v>
      </c>
      <c r="C231" s="152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58">
        <v>230</v>
      </c>
      <c r="R231" s="159">
        <f t="shared" si="0"/>
        <v>52.60859393277704</v>
      </c>
      <c r="S231" s="160">
        <f t="shared" si="1"/>
        <v>89761</v>
      </c>
      <c r="T231" s="151">
        <v>230</v>
      </c>
      <c r="U231" s="159">
        <f t="shared" si="2"/>
        <v>5.8453993258641157</v>
      </c>
      <c r="V231" s="160">
        <f t="shared" si="3"/>
        <v>89761</v>
      </c>
    </row>
    <row r="232" spans="1:22" ht="15.75" customHeight="1" x14ac:dyDescent="0.2">
      <c r="A232" s="151">
        <v>231</v>
      </c>
      <c r="B232" s="151">
        <v>47853</v>
      </c>
      <c r="C232" s="152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58">
        <v>231</v>
      </c>
      <c r="R232" s="159">
        <f t="shared" si="0"/>
        <v>52.939419417647585</v>
      </c>
      <c r="S232" s="160">
        <f t="shared" si="1"/>
        <v>90392</v>
      </c>
      <c r="T232" s="151">
        <v>231</v>
      </c>
      <c r="U232" s="159">
        <f t="shared" si="2"/>
        <v>5.8821577130719529</v>
      </c>
      <c r="V232" s="160">
        <f t="shared" si="3"/>
        <v>90392</v>
      </c>
    </row>
    <row r="233" spans="1:22" ht="15.75" customHeight="1" x14ac:dyDescent="0.2">
      <c r="A233" s="151">
        <v>232</v>
      </c>
      <c r="B233" s="151">
        <v>48496</v>
      </c>
      <c r="C233" s="152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58">
        <v>232</v>
      </c>
      <c r="R233" s="159">
        <f t="shared" si="0"/>
        <v>53.271818531334105</v>
      </c>
      <c r="S233" s="160">
        <f t="shared" si="1"/>
        <v>91035</v>
      </c>
      <c r="T233" s="151">
        <v>232</v>
      </c>
      <c r="U233" s="159">
        <f t="shared" si="2"/>
        <v>5.9190909479260112</v>
      </c>
      <c r="V233" s="160">
        <f t="shared" si="3"/>
        <v>91035</v>
      </c>
    </row>
    <row r="234" spans="1:22" ht="15.75" customHeight="1" x14ac:dyDescent="0.2">
      <c r="A234" s="151">
        <v>233</v>
      </c>
      <c r="B234" s="151">
        <v>49149</v>
      </c>
      <c r="C234" s="152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58">
        <v>233</v>
      </c>
      <c r="R234" s="159">
        <f t="shared" si="0"/>
        <v>53.604615653084373</v>
      </c>
      <c r="S234" s="160">
        <f t="shared" si="1"/>
        <v>91688</v>
      </c>
      <c r="T234" s="151">
        <v>233</v>
      </c>
      <c r="U234" s="159">
        <f t="shared" si="2"/>
        <v>5.9560684058982636</v>
      </c>
      <c r="V234" s="160">
        <f t="shared" si="3"/>
        <v>91688</v>
      </c>
    </row>
    <row r="235" spans="1:22" ht="15.75" customHeight="1" x14ac:dyDescent="0.2">
      <c r="A235" s="151">
        <v>234</v>
      </c>
      <c r="B235" s="151">
        <v>49813</v>
      </c>
      <c r="C235" s="152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58">
        <v>234</v>
      </c>
      <c r="R235" s="159">
        <f t="shared" si="0"/>
        <v>53.938193000693005</v>
      </c>
      <c r="S235" s="160">
        <f t="shared" si="1"/>
        <v>92352</v>
      </c>
      <c r="T235" s="151">
        <v>234</v>
      </c>
      <c r="U235" s="159">
        <f t="shared" si="2"/>
        <v>5.9931325556325552</v>
      </c>
      <c r="V235" s="160">
        <f t="shared" si="3"/>
        <v>92352</v>
      </c>
    </row>
    <row r="236" spans="1:22" ht="15.75" customHeight="1" x14ac:dyDescent="0.2">
      <c r="A236" s="151">
        <v>235</v>
      </c>
      <c r="B236" s="151">
        <v>50489</v>
      </c>
      <c r="C236" s="152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58">
        <v>235</v>
      </c>
      <c r="R236" s="159">
        <f t="shared" si="0"/>
        <v>54.272907081738829</v>
      </c>
      <c r="S236" s="160">
        <f t="shared" si="1"/>
        <v>93028</v>
      </c>
      <c r="T236" s="151">
        <v>235</v>
      </c>
      <c r="U236" s="159">
        <f t="shared" si="2"/>
        <v>6.0303230090820916</v>
      </c>
      <c r="V236" s="160">
        <f t="shared" si="3"/>
        <v>93028</v>
      </c>
    </row>
    <row r="237" spans="1:22" ht="15.75" customHeight="1" x14ac:dyDescent="0.2">
      <c r="A237" s="151">
        <v>236</v>
      </c>
      <c r="B237" s="151">
        <v>51177</v>
      </c>
      <c r="C237" s="152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58">
        <v>236</v>
      </c>
      <c r="R237" s="159">
        <f t="shared" si="0"/>
        <v>54.60860472064536</v>
      </c>
      <c r="S237" s="160">
        <f t="shared" si="1"/>
        <v>93716</v>
      </c>
      <c r="T237" s="151">
        <v>236</v>
      </c>
      <c r="U237" s="159">
        <f t="shared" si="2"/>
        <v>6.0676227467383725</v>
      </c>
      <c r="V237" s="160">
        <f t="shared" si="3"/>
        <v>93716</v>
      </c>
    </row>
    <row r="238" spans="1:22" ht="15.75" customHeight="1" x14ac:dyDescent="0.2">
      <c r="A238" s="151">
        <v>237</v>
      </c>
      <c r="B238" s="151">
        <v>51877</v>
      </c>
      <c r="C238" s="152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58">
        <v>237</v>
      </c>
      <c r="R238" s="159">
        <f t="shared" si="0"/>
        <v>54.945136417556348</v>
      </c>
      <c r="S238" s="160">
        <f t="shared" si="1"/>
        <v>94416</v>
      </c>
      <c r="T238" s="151">
        <v>237</v>
      </c>
      <c r="U238" s="159">
        <f t="shared" si="2"/>
        <v>6.1050151575062612</v>
      </c>
      <c r="V238" s="160">
        <f t="shared" si="3"/>
        <v>94416</v>
      </c>
    </row>
    <row r="239" spans="1:22" ht="15.75" customHeight="1" x14ac:dyDescent="0.2">
      <c r="A239" s="151">
        <v>238</v>
      </c>
      <c r="B239" s="151">
        <v>52589</v>
      </c>
      <c r="C239" s="152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58">
        <v>238</v>
      </c>
      <c r="R239" s="159">
        <f t="shared" si="0"/>
        <v>55.282356404003032</v>
      </c>
      <c r="S239" s="160">
        <f t="shared" si="1"/>
        <v>95128</v>
      </c>
      <c r="T239" s="151">
        <v>238</v>
      </c>
      <c r="U239" s="159">
        <f t="shared" si="2"/>
        <v>6.1424840448892262</v>
      </c>
      <c r="V239" s="160">
        <f t="shared" si="3"/>
        <v>95128</v>
      </c>
    </row>
    <row r="240" spans="1:22" ht="15.75" customHeight="1" x14ac:dyDescent="0.2">
      <c r="A240" s="151">
        <v>239</v>
      </c>
      <c r="B240" s="151">
        <v>53313</v>
      </c>
      <c r="C240" s="152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58">
        <v>239</v>
      </c>
      <c r="R240" s="159">
        <f t="shared" si="0"/>
        <v>55.620122689145767</v>
      </c>
      <c r="S240" s="160">
        <f t="shared" si="1"/>
        <v>95852</v>
      </c>
      <c r="T240" s="151">
        <v>239</v>
      </c>
      <c r="U240" s="159">
        <f t="shared" si="2"/>
        <v>6.1800136321273076</v>
      </c>
      <c r="V240" s="160">
        <f t="shared" si="3"/>
        <v>95852</v>
      </c>
    </row>
    <row r="241" spans="1:22" ht="15.75" customHeight="1" x14ac:dyDescent="0.2">
      <c r="A241" s="151">
        <v>240</v>
      </c>
      <c r="B241" s="151">
        <v>54051</v>
      </c>
      <c r="C241" s="152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58">
        <v>240</v>
      </c>
      <c r="R241" s="159">
        <f t="shared" si="0"/>
        <v>55.959209027849674</v>
      </c>
      <c r="S241" s="160">
        <f t="shared" si="1"/>
        <v>96590</v>
      </c>
      <c r="T241" s="151">
        <v>240</v>
      </c>
      <c r="U241" s="159">
        <f t="shared" si="2"/>
        <v>6.2176898919832979</v>
      </c>
      <c r="V241" s="160">
        <f t="shared" si="3"/>
        <v>96590</v>
      </c>
    </row>
    <row r="242" spans="1:22" ht="15.75" customHeight="1" x14ac:dyDescent="0.2">
      <c r="A242" s="151">
        <v>241</v>
      </c>
      <c r="B242" s="151">
        <v>54801</v>
      </c>
      <c r="C242" s="152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58">
        <v>241</v>
      </c>
      <c r="R242" s="159">
        <f t="shared" si="0"/>
        <v>56.298541195808504</v>
      </c>
      <c r="S242" s="160">
        <f t="shared" si="1"/>
        <v>97340</v>
      </c>
      <c r="T242" s="151">
        <v>241</v>
      </c>
      <c r="U242" s="159">
        <f t="shared" si="2"/>
        <v>6.2553934662009452</v>
      </c>
      <c r="V242" s="160">
        <f t="shared" si="3"/>
        <v>97340</v>
      </c>
    </row>
    <row r="243" spans="1:22" ht="15.75" customHeight="1" x14ac:dyDescent="0.2">
      <c r="A243" s="151">
        <v>242</v>
      </c>
      <c r="B243" s="151">
        <v>55564</v>
      </c>
      <c r="C243" s="152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58">
        <v>242</v>
      </c>
      <c r="R243" s="159">
        <f t="shared" si="0"/>
        <v>56.638431036767479</v>
      </c>
      <c r="S243" s="160">
        <f t="shared" si="1"/>
        <v>98103</v>
      </c>
      <c r="T243" s="151">
        <v>242</v>
      </c>
      <c r="U243" s="159">
        <f t="shared" si="2"/>
        <v>6.2931590040852745</v>
      </c>
      <c r="V243" s="160">
        <f t="shared" si="3"/>
        <v>98103</v>
      </c>
    </row>
    <row r="244" spans="1:22" ht="15.75" customHeight="1" x14ac:dyDescent="0.2">
      <c r="A244" s="151">
        <v>243</v>
      </c>
      <c r="B244" s="151">
        <v>56341</v>
      </c>
      <c r="C244" s="152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58">
        <v>243</v>
      </c>
      <c r="R244" s="159">
        <f t="shared" si="0"/>
        <v>56.979166666666671</v>
      </c>
      <c r="S244" s="160">
        <f t="shared" si="1"/>
        <v>98880</v>
      </c>
      <c r="T244" s="151">
        <v>243</v>
      </c>
      <c r="U244" s="159">
        <f t="shared" si="2"/>
        <v>6.331018518518519</v>
      </c>
      <c r="V244" s="160">
        <f t="shared" si="3"/>
        <v>98880</v>
      </c>
    </row>
    <row r="245" spans="1:22" ht="15.75" customHeight="1" x14ac:dyDescent="0.2">
      <c r="A245" s="151">
        <v>244</v>
      </c>
      <c r="B245" s="151">
        <v>57132</v>
      </c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58">
        <v>244</v>
      </c>
      <c r="R245" s="159">
        <f t="shared" si="0"/>
        <v>57.320584723741106</v>
      </c>
      <c r="S245" s="160">
        <f t="shared" si="1"/>
        <v>99671</v>
      </c>
      <c r="T245" s="151">
        <v>244</v>
      </c>
      <c r="U245" s="159">
        <f t="shared" si="2"/>
        <v>6.3689538581934562</v>
      </c>
      <c r="V245" s="160">
        <f t="shared" si="3"/>
        <v>99671</v>
      </c>
    </row>
    <row r="246" spans="1:22" ht="15.75" customHeight="1" x14ac:dyDescent="0.2">
      <c r="A246" s="151">
        <v>245</v>
      </c>
      <c r="B246" s="151">
        <v>57937</v>
      </c>
      <c r="C246" s="152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58">
        <v>245</v>
      </c>
      <c r="R246" s="159">
        <f t="shared" si="0"/>
        <v>57.662526374457578</v>
      </c>
      <c r="S246" s="160">
        <f t="shared" si="1"/>
        <v>100476</v>
      </c>
      <c r="T246" s="151">
        <v>245</v>
      </c>
      <c r="U246" s="159">
        <f t="shared" si="2"/>
        <v>6.4069473749397314</v>
      </c>
      <c r="V246" s="160">
        <f t="shared" si="3"/>
        <v>100476</v>
      </c>
    </row>
    <row r="247" spans="1:22" ht="15.75" customHeight="1" x14ac:dyDescent="0.2">
      <c r="A247" s="151">
        <v>246</v>
      </c>
      <c r="B247" s="151">
        <v>58756</v>
      </c>
      <c r="C247" s="68"/>
      <c r="D247" s="68"/>
      <c r="E247" s="68"/>
      <c r="F247" s="68"/>
      <c r="G247" s="68"/>
      <c r="H247" s="145"/>
      <c r="I247" s="145"/>
      <c r="J247" s="145"/>
      <c r="K247" s="145"/>
      <c r="L247" s="145"/>
      <c r="M247" s="145"/>
      <c r="N247" s="145"/>
      <c r="O247" s="145"/>
      <c r="P247" s="145"/>
      <c r="Q247" s="158">
        <v>246</v>
      </c>
      <c r="R247" s="159">
        <f t="shared" si="0"/>
        <v>58.004837356236735</v>
      </c>
      <c r="S247" s="160">
        <f t="shared" si="1"/>
        <v>101295</v>
      </c>
      <c r="T247" s="151">
        <v>246</v>
      </c>
      <c r="U247" s="159">
        <f t="shared" si="2"/>
        <v>6.4449819284707486</v>
      </c>
      <c r="V247" s="160">
        <f t="shared" si="3"/>
        <v>101295</v>
      </c>
    </row>
    <row r="248" spans="1:22" ht="15.75" customHeight="1" x14ac:dyDescent="0.2">
      <c r="A248" s="151">
        <v>247</v>
      </c>
      <c r="B248" s="151">
        <v>59590</v>
      </c>
      <c r="C248" s="68"/>
      <c r="D248" s="68"/>
      <c r="E248" s="68"/>
      <c r="F248" s="68"/>
      <c r="G248" s="68"/>
      <c r="H248" s="145"/>
      <c r="I248" s="145"/>
      <c r="J248" s="145"/>
      <c r="K248" s="145"/>
      <c r="L248" s="145"/>
      <c r="M248" s="145"/>
      <c r="N248" s="145"/>
      <c r="O248" s="145"/>
      <c r="P248" s="145"/>
      <c r="Q248" s="158">
        <v>247</v>
      </c>
      <c r="R248" s="159">
        <f t="shared" si="0"/>
        <v>58.347775852108605</v>
      </c>
      <c r="S248" s="160">
        <f t="shared" si="1"/>
        <v>102129</v>
      </c>
      <c r="T248" s="151">
        <v>247</v>
      </c>
      <c r="U248" s="159">
        <f t="shared" si="2"/>
        <v>6.4830862057898457</v>
      </c>
      <c r="V248" s="160">
        <f t="shared" si="3"/>
        <v>102129</v>
      </c>
    </row>
    <row r="249" spans="1:22" ht="15.75" customHeight="1" x14ac:dyDescent="0.2">
      <c r="A249" s="151">
        <v>248</v>
      </c>
      <c r="B249" s="151">
        <v>60439</v>
      </c>
      <c r="C249" s="68"/>
      <c r="D249" s="68"/>
      <c r="E249" s="68"/>
      <c r="F249" s="68"/>
      <c r="G249" s="68"/>
      <c r="H249" s="145"/>
      <c r="I249" s="145"/>
      <c r="J249" s="145"/>
      <c r="K249" s="145"/>
      <c r="L249" s="145"/>
      <c r="M249" s="145"/>
      <c r="N249" s="145"/>
      <c r="O249" s="145"/>
      <c r="P249" s="145"/>
      <c r="Q249" s="158">
        <v>248</v>
      </c>
      <c r="R249" s="159">
        <f t="shared" si="0"/>
        <v>58.691176756200356</v>
      </c>
      <c r="S249" s="160">
        <f t="shared" si="1"/>
        <v>102978</v>
      </c>
      <c r="T249" s="151">
        <v>248</v>
      </c>
      <c r="U249" s="159">
        <f t="shared" si="2"/>
        <v>6.5212418618000392</v>
      </c>
      <c r="V249" s="160">
        <f t="shared" si="3"/>
        <v>102978</v>
      </c>
    </row>
    <row r="250" spans="1:22" ht="15.75" customHeight="1" x14ac:dyDescent="0.2">
      <c r="A250" s="151">
        <v>249</v>
      </c>
      <c r="B250" s="151">
        <v>61303</v>
      </c>
      <c r="C250" s="68"/>
      <c r="D250" s="68"/>
      <c r="E250" s="68"/>
      <c r="F250" s="68"/>
      <c r="G250" s="68"/>
      <c r="H250" s="145"/>
      <c r="I250" s="145"/>
      <c r="J250" s="145"/>
      <c r="K250" s="145"/>
      <c r="L250" s="145"/>
      <c r="M250" s="145"/>
      <c r="N250" s="145"/>
      <c r="O250" s="145"/>
      <c r="P250" s="145"/>
      <c r="Q250" s="158">
        <v>249</v>
      </c>
      <c r="R250" s="159">
        <f t="shared" si="0"/>
        <v>59.034879913715066</v>
      </c>
      <c r="S250" s="160">
        <f t="shared" si="1"/>
        <v>103842</v>
      </c>
      <c r="T250" s="151">
        <v>249</v>
      </c>
      <c r="U250" s="159">
        <f t="shared" si="2"/>
        <v>6.5594311015238969</v>
      </c>
      <c r="V250" s="160">
        <f t="shared" si="3"/>
        <v>103842</v>
      </c>
    </row>
    <row r="251" spans="1:22" ht="15.75" customHeight="1" x14ac:dyDescent="0.2">
      <c r="A251" s="151">
        <v>250</v>
      </c>
      <c r="B251" s="151">
        <v>62183</v>
      </c>
      <c r="C251" s="68"/>
      <c r="D251" s="68"/>
      <c r="E251" s="68"/>
      <c r="F251" s="68"/>
      <c r="G251" s="68"/>
      <c r="H251" s="145"/>
      <c r="I251" s="145"/>
      <c r="J251" s="145"/>
      <c r="K251" s="145"/>
      <c r="L251" s="145"/>
      <c r="M251" s="145"/>
      <c r="N251" s="145"/>
      <c r="O251" s="145"/>
      <c r="P251" s="145"/>
      <c r="Q251" s="158">
        <v>250</v>
      </c>
      <c r="R251" s="159">
        <f t="shared" si="0"/>
        <v>59.379118045873838</v>
      </c>
      <c r="S251" s="160">
        <f t="shared" si="1"/>
        <v>104722</v>
      </c>
      <c r="T251" s="151">
        <v>250</v>
      </c>
      <c r="U251" s="159">
        <f t="shared" si="2"/>
        <v>6.597679782874871</v>
      </c>
      <c r="V251" s="160">
        <f t="shared" si="3"/>
        <v>104722</v>
      </c>
    </row>
    <row r="252" spans="1:22" ht="15.75" customHeight="1" x14ac:dyDescent="0.2">
      <c r="A252" s="165">
        <v>251</v>
      </c>
      <c r="B252" s="166">
        <v>65201.69</v>
      </c>
      <c r="C252" s="3">
        <v>65201.69</v>
      </c>
      <c r="D252" s="3">
        <v>65201.69</v>
      </c>
      <c r="E252" s="68"/>
      <c r="F252" s="68"/>
      <c r="G252" s="68"/>
      <c r="H252" s="145"/>
      <c r="I252" s="145"/>
      <c r="J252" s="145"/>
      <c r="K252" s="145"/>
      <c r="L252" s="145"/>
      <c r="M252" s="145"/>
      <c r="N252" s="145"/>
      <c r="O252" s="145"/>
      <c r="P252" s="145"/>
      <c r="Q252" s="167">
        <f t="shared" ref="Q252:Q301" si="4">+Q251+1</f>
        <v>251</v>
      </c>
      <c r="R252" s="159">
        <f t="shared" si="0"/>
        <v>60.517238194780454</v>
      </c>
      <c r="S252" s="168">
        <f t="shared" si="1"/>
        <v>107740.69</v>
      </c>
      <c r="T252" s="151">
        <v>251</v>
      </c>
      <c r="U252" s="159">
        <f t="shared" si="2"/>
        <v>6.724137577197828</v>
      </c>
      <c r="V252" s="168">
        <f t="shared" si="3"/>
        <v>107740.69</v>
      </c>
    </row>
    <row r="253" spans="1:22" ht="15.75" customHeight="1" x14ac:dyDescent="0.2">
      <c r="A253" s="165">
        <f t="shared" ref="A253:A301" si="5">A252+1</f>
        <v>252</v>
      </c>
      <c r="B253" s="166">
        <v>66085.656347703276</v>
      </c>
      <c r="C253" s="3">
        <v>66062.283265130449</v>
      </c>
      <c r="D253" s="3">
        <v>66109.029430276103</v>
      </c>
      <c r="E253" s="68"/>
      <c r="F253" s="68"/>
      <c r="G253" s="68"/>
      <c r="H253" s="145"/>
      <c r="I253" s="145"/>
      <c r="J253" s="145"/>
      <c r="K253" s="145"/>
      <c r="L253" s="145"/>
      <c r="M253" s="145"/>
      <c r="N253" s="145"/>
      <c r="O253" s="145"/>
      <c r="P253" s="145"/>
      <c r="Q253" s="167">
        <f t="shared" si="4"/>
        <v>252</v>
      </c>
      <c r="R253" s="159">
        <f t="shared" si="0"/>
        <v>60.838541238893015</v>
      </c>
      <c r="S253" s="168">
        <f t="shared" si="1"/>
        <v>108624.65634770328</v>
      </c>
      <c r="T253" s="151">
        <v>252</v>
      </c>
      <c r="U253" s="159">
        <f t="shared" si="2"/>
        <v>6.7598379154325565</v>
      </c>
      <c r="V253" s="168">
        <f t="shared" si="3"/>
        <v>108624.65634770328</v>
      </c>
    </row>
    <row r="254" spans="1:22" ht="15.75" customHeight="1" x14ac:dyDescent="0.2">
      <c r="A254" s="165">
        <f t="shared" si="5"/>
        <v>253</v>
      </c>
      <c r="B254" s="166">
        <v>66970.957111011172</v>
      </c>
      <c r="C254" s="3">
        <v>66922.849418737314</v>
      </c>
      <c r="D254" s="3">
        <v>67019.064803285029</v>
      </c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167">
        <f t="shared" si="4"/>
        <v>253</v>
      </c>
      <c r="R254" s="159">
        <f t="shared" si="0"/>
        <v>61.155130435419814</v>
      </c>
      <c r="S254" s="168">
        <f t="shared" si="1"/>
        <v>109509.95711101117</v>
      </c>
      <c r="T254" s="151">
        <v>253</v>
      </c>
      <c r="U254" s="159">
        <f t="shared" si="2"/>
        <v>6.7950144928244232</v>
      </c>
      <c r="V254" s="168">
        <f t="shared" si="3"/>
        <v>109509.95711101117</v>
      </c>
    </row>
    <row r="255" spans="1:22" ht="15.75" customHeight="1" x14ac:dyDescent="0.2">
      <c r="A255" s="165">
        <f t="shared" si="5"/>
        <v>254</v>
      </c>
      <c r="B255" s="166">
        <v>67856.257874319082</v>
      </c>
      <c r="C255" s="3">
        <v>67776.942135654346</v>
      </c>
      <c r="D255" s="3">
        <v>67935.573612983819</v>
      </c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167">
        <f t="shared" si="4"/>
        <v>254</v>
      </c>
      <c r="R255" s="159">
        <f t="shared" si="0"/>
        <v>61.466641938162702</v>
      </c>
      <c r="S255" s="168">
        <f t="shared" si="1"/>
        <v>110395.25787431908</v>
      </c>
      <c r="T255" s="151">
        <v>254</v>
      </c>
      <c r="U255" s="159">
        <f t="shared" si="2"/>
        <v>6.8296268820180774</v>
      </c>
      <c r="V255" s="168">
        <f t="shared" si="3"/>
        <v>110395.25787431908</v>
      </c>
    </row>
    <row r="256" spans="1:22" ht="15.75" customHeight="1" x14ac:dyDescent="0.2">
      <c r="A256" s="165">
        <f t="shared" si="5"/>
        <v>255</v>
      </c>
      <c r="B256" s="166">
        <v>68741.558637626978</v>
      </c>
      <c r="C256" s="3">
        <v>68625.976407019683</v>
      </c>
      <c r="D256" s="3">
        <v>68857.140868234274</v>
      </c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167">
        <f t="shared" si="4"/>
        <v>255</v>
      </c>
      <c r="R256" s="159">
        <f t="shared" si="0"/>
        <v>61.773196935033717</v>
      </c>
      <c r="S256" s="168">
        <f t="shared" si="1"/>
        <v>111280.55863762698</v>
      </c>
      <c r="T256" s="151">
        <v>255</v>
      </c>
      <c r="U256" s="159">
        <f t="shared" si="2"/>
        <v>6.8636885483370795</v>
      </c>
      <c r="V256" s="168">
        <f t="shared" si="3"/>
        <v>111280.55863762698</v>
      </c>
    </row>
    <row r="257" spans="1:22" ht="15.75" customHeight="1" x14ac:dyDescent="0.2">
      <c r="A257" s="165">
        <f t="shared" si="5"/>
        <v>256</v>
      </c>
      <c r="B257" s="166">
        <v>69626.859400934889</v>
      </c>
      <c r="C257" s="3">
        <v>69470.647400871705</v>
      </c>
      <c r="D257" s="3">
        <v>69783.071400998073</v>
      </c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167">
        <f t="shared" si="4"/>
        <v>256</v>
      </c>
      <c r="R257" s="159">
        <f t="shared" ref="R257:R301" si="6">VLOOKUP(Q257,$A:$B,2,FALSE)/S257*100</f>
        <v>62.074912787905369</v>
      </c>
      <c r="S257" s="168">
        <f t="shared" ref="S257:S301" si="7">(VLOOKUP($E$2,$A:$B,2,FALSE)+VLOOKUP(Q257,$A:$B,2,FALSE))</f>
        <v>112165.85940093489</v>
      </c>
      <c r="T257" s="151">
        <v>256</v>
      </c>
      <c r="U257" s="159">
        <f t="shared" ref="U257:U301" si="8">(VLOOKUP(T257,$A:$B,2,FALSE)/9)/V257*100</f>
        <v>6.8972125319894859</v>
      </c>
      <c r="V257" s="168">
        <f t="shared" ref="V257:V301" si="9">(VLOOKUP($E$2,$A:$B,2,FALSE)+VLOOKUP(Q257,$A:$B,2,FALSE))</f>
        <v>112165.85940093489</v>
      </c>
    </row>
    <row r="258" spans="1:22" ht="15.75" customHeight="1" x14ac:dyDescent="0.2">
      <c r="A258" s="165">
        <f t="shared" si="5"/>
        <v>257</v>
      </c>
      <c r="B258" s="166">
        <v>70512.160164242785</v>
      </c>
      <c r="C258" s="3">
        <v>70311.404493822658</v>
      </c>
      <c r="D258" s="3">
        <v>70712.915834662912</v>
      </c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167">
        <f t="shared" si="4"/>
        <v>257</v>
      </c>
      <c r="R258" s="159">
        <f t="shared" si="6"/>
        <v>62.371903182418855</v>
      </c>
      <c r="S258" s="168">
        <f t="shared" si="7"/>
        <v>113051.16016424278</v>
      </c>
      <c r="T258" s="151">
        <v>257</v>
      </c>
      <c r="U258" s="159">
        <f t="shared" si="8"/>
        <v>6.9302114647132065</v>
      </c>
      <c r="V258" s="168">
        <f t="shared" si="9"/>
        <v>113051.16016424278</v>
      </c>
    </row>
    <row r="259" spans="1:22" ht="15.75" customHeight="1" x14ac:dyDescent="0.2">
      <c r="A259" s="165">
        <f t="shared" si="5"/>
        <v>258</v>
      </c>
      <c r="B259" s="166">
        <v>71397.460927550681</v>
      </c>
      <c r="C259" s="3">
        <v>71148.574919969731</v>
      </c>
      <c r="D259" s="3">
        <v>71646.346935131631</v>
      </c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167">
        <f t="shared" si="4"/>
        <v>258</v>
      </c>
      <c r="R259" s="159">
        <f t="shared" si="6"/>
        <v>62.664278270807905</v>
      </c>
      <c r="S259" s="168">
        <f t="shared" si="7"/>
        <v>113936.46092755068</v>
      </c>
      <c r="T259" s="151">
        <v>258</v>
      </c>
      <c r="U259" s="159">
        <f t="shared" si="8"/>
        <v>6.9626975856453219</v>
      </c>
      <c r="V259" s="168">
        <f t="shared" si="9"/>
        <v>113936.46092755068</v>
      </c>
    </row>
    <row r="260" spans="1:22" ht="15.75" customHeight="1" x14ac:dyDescent="0.2">
      <c r="A260" s="165">
        <f t="shared" si="5"/>
        <v>259</v>
      </c>
      <c r="B260" s="166">
        <v>72282.761690858591</v>
      </c>
      <c r="C260" s="3">
        <v>71982.412814273121</v>
      </c>
      <c r="D260" s="3">
        <v>72583.110567444062</v>
      </c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167">
        <f t="shared" si="4"/>
        <v>259</v>
      </c>
      <c r="R260" s="159">
        <f t="shared" si="6"/>
        <v>62.952144808115506</v>
      </c>
      <c r="S260" s="168">
        <f t="shared" si="7"/>
        <v>114821.76169085859</v>
      </c>
      <c r="T260" s="151">
        <v>259</v>
      </c>
      <c r="U260" s="159">
        <f t="shared" si="8"/>
        <v>6.9946827564572782</v>
      </c>
      <c r="V260" s="168">
        <f t="shared" si="9"/>
        <v>114821.76169085859</v>
      </c>
    </row>
    <row r="261" spans="1:22" ht="15.75" customHeight="1" x14ac:dyDescent="0.2">
      <c r="A261" s="165">
        <f t="shared" si="5"/>
        <v>260</v>
      </c>
      <c r="B261" s="166">
        <v>73168.062454166487</v>
      </c>
      <c r="C261" s="3">
        <v>72813.123741278352</v>
      </c>
      <c r="D261" s="3">
        <v>73523.001167054623</v>
      </c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167">
        <f t="shared" si="4"/>
        <v>260</v>
      </c>
      <c r="R261" s="159">
        <f t="shared" si="6"/>
        <v>63.235606282157228</v>
      </c>
      <c r="S261" s="168">
        <f t="shared" si="7"/>
        <v>115707.06245416649</v>
      </c>
      <c r="T261" s="151">
        <v>260</v>
      </c>
      <c r="U261" s="159">
        <f t="shared" si="8"/>
        <v>7.0261784757952475</v>
      </c>
      <c r="V261" s="168">
        <f t="shared" si="9"/>
        <v>115707.06245416649</v>
      </c>
    </row>
    <row r="262" spans="1:22" ht="15.75" customHeight="1" x14ac:dyDescent="0.2">
      <c r="A262" s="165">
        <f t="shared" si="5"/>
        <v>261</v>
      </c>
      <c r="B262" s="166">
        <v>74053.363217474398</v>
      </c>
      <c r="C262" s="3">
        <v>73640.87877715897</v>
      </c>
      <c r="D262" s="3">
        <v>74465.847657789825</v>
      </c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167">
        <f t="shared" si="4"/>
        <v>261</v>
      </c>
      <c r="R262" s="159">
        <f t="shared" si="6"/>
        <v>63.514763037563661</v>
      </c>
      <c r="S262" s="168">
        <f t="shared" si="7"/>
        <v>116592.3632174744</v>
      </c>
      <c r="T262" s="151">
        <v>261</v>
      </c>
      <c r="U262" s="159">
        <f t="shared" si="8"/>
        <v>7.0571958930626284</v>
      </c>
      <c r="V262" s="168">
        <f t="shared" si="9"/>
        <v>116592.3632174744</v>
      </c>
    </row>
    <row r="263" spans="1:22" ht="15.75" customHeight="1" x14ac:dyDescent="0.2">
      <c r="A263" s="165">
        <f t="shared" si="5"/>
        <v>262</v>
      </c>
      <c r="B263" s="166">
        <v>74938.663980782294</v>
      </c>
      <c r="C263" s="3">
        <v>74465.823351749379</v>
      </c>
      <c r="D263" s="3">
        <v>75411.504609815209</v>
      </c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167">
        <f t="shared" si="4"/>
        <v>262</v>
      </c>
      <c r="R263" s="159">
        <f t="shared" si="6"/>
        <v>63.789712394214114</v>
      </c>
      <c r="S263" s="168">
        <f t="shared" si="7"/>
        <v>117477.66398078229</v>
      </c>
      <c r="T263" s="151">
        <v>262</v>
      </c>
      <c r="U263" s="159">
        <f t="shared" si="8"/>
        <v>7.0877458215793467</v>
      </c>
      <c r="V263" s="168">
        <f t="shared" si="9"/>
        <v>117477.66398078229</v>
      </c>
    </row>
    <row r="264" spans="1:22" ht="15.75" customHeight="1" x14ac:dyDescent="0.2">
      <c r="A264" s="165">
        <f t="shared" si="5"/>
        <v>263</v>
      </c>
      <c r="B264" s="166">
        <v>75823.96474409019</v>
      </c>
      <c r="C264" s="3">
        <v>75288.083159406058</v>
      </c>
      <c r="D264" s="3">
        <v>76359.846328774322</v>
      </c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167">
        <f t="shared" si="4"/>
        <v>263</v>
      </c>
      <c r="R264" s="159">
        <f t="shared" si="6"/>
        <v>64.060548760355417</v>
      </c>
      <c r="S264" s="168">
        <f t="shared" si="7"/>
        <v>118362.96474409019</v>
      </c>
      <c r="T264" s="151">
        <v>263</v>
      </c>
      <c r="U264" s="159">
        <f t="shared" si="8"/>
        <v>7.1178387511506012</v>
      </c>
      <c r="V264" s="168">
        <f t="shared" si="9"/>
        <v>118362.96474409019</v>
      </c>
    </row>
    <row r="265" spans="1:22" ht="15.75" customHeight="1" x14ac:dyDescent="0.2">
      <c r="A265" s="165">
        <f t="shared" si="5"/>
        <v>264</v>
      </c>
      <c r="B265" s="166">
        <v>76709.2655073981</v>
      </c>
      <c r="C265" s="3">
        <v>76107.768298317722</v>
      </c>
      <c r="D265" s="3">
        <v>77310.762716478479</v>
      </c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167">
        <f t="shared" si="4"/>
        <v>264</v>
      </c>
      <c r="R265" s="159">
        <f t="shared" si="6"/>
        <v>64.327363740681903</v>
      </c>
      <c r="S265" s="168">
        <f t="shared" si="7"/>
        <v>119248.2655073981</v>
      </c>
      <c r="T265" s="151">
        <v>264</v>
      </c>
      <c r="U265" s="159">
        <f t="shared" si="8"/>
        <v>7.1474848600757683</v>
      </c>
      <c r="V265" s="168">
        <f t="shared" si="9"/>
        <v>119248.2655073981</v>
      </c>
    </row>
    <row r="266" spans="1:22" ht="15.75" customHeight="1" x14ac:dyDescent="0.2">
      <c r="A266" s="165">
        <f t="shared" si="5"/>
        <v>265</v>
      </c>
      <c r="B266" s="166">
        <v>77594.566270705996</v>
      </c>
      <c r="C266" s="3">
        <v>76924.976275515583</v>
      </c>
      <c r="D266" s="3">
        <v>78264.15626589641</v>
      </c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167">
        <f t="shared" si="4"/>
        <v>265</v>
      </c>
      <c r="R266" s="159">
        <f t="shared" si="6"/>
        <v>64.590246239636571</v>
      </c>
      <c r="S266" s="168">
        <f t="shared" si="7"/>
        <v>120133.566270706</v>
      </c>
      <c r="T266" s="151">
        <v>265</v>
      </c>
      <c r="U266" s="159">
        <f t="shared" si="8"/>
        <v>7.1766940266262873</v>
      </c>
      <c r="V266" s="168">
        <f t="shared" si="9"/>
        <v>120133.566270706</v>
      </c>
    </row>
    <row r="267" spans="1:22" ht="15.75" customHeight="1" x14ac:dyDescent="0.2">
      <c r="A267" s="165">
        <f t="shared" si="5"/>
        <v>266</v>
      </c>
      <c r="B267" s="166">
        <v>78479.867034013907</v>
      </c>
      <c r="C267" s="3">
        <v>77739.794252324427</v>
      </c>
      <c r="D267" s="3">
        <v>79219.939815703387</v>
      </c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167">
        <f t="shared" si="4"/>
        <v>266</v>
      </c>
      <c r="R267" s="159">
        <f t="shared" si="6"/>
        <v>64.849282560178096</v>
      </c>
      <c r="S267" s="168">
        <f t="shared" si="7"/>
        <v>121018.86703401391</v>
      </c>
      <c r="T267" s="151">
        <v>266</v>
      </c>
      <c r="U267" s="159">
        <f t="shared" si="8"/>
        <v>7.2054758400197887</v>
      </c>
      <c r="V267" s="168">
        <f t="shared" si="9"/>
        <v>121018.86703401391</v>
      </c>
    </row>
    <row r="268" spans="1:22" ht="15.75" customHeight="1" x14ac:dyDescent="0.2">
      <c r="A268" s="165">
        <f t="shared" si="5"/>
        <v>267</v>
      </c>
      <c r="B268" s="166">
        <v>79365.167797321803</v>
      </c>
      <c r="C268" s="3">
        <v>78552.300762587271</v>
      </c>
      <c r="D268" s="3">
        <v>80178.034832056335</v>
      </c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167">
        <f t="shared" si="4"/>
        <v>267</v>
      </c>
      <c r="R268" s="159">
        <f t="shared" si="6"/>
        <v>65.104556498244222</v>
      </c>
      <c r="S268" s="168">
        <f t="shared" si="7"/>
        <v>121904.1677973218</v>
      </c>
      <c r="T268" s="151">
        <v>267</v>
      </c>
      <c r="U268" s="159">
        <f t="shared" si="8"/>
        <v>7.2338396109160232</v>
      </c>
      <c r="V268" s="168">
        <f t="shared" si="9"/>
        <v>121904.1677973218</v>
      </c>
    </row>
    <row r="269" spans="1:22" ht="15.75" customHeight="1" x14ac:dyDescent="0.2">
      <c r="A269" s="165">
        <f t="shared" si="5"/>
        <v>268</v>
      </c>
      <c r="B269" s="166">
        <v>80250.468560629699</v>
      </c>
      <c r="C269" s="3">
        <v>79362.567053956911</v>
      </c>
      <c r="D269" s="3">
        <v>81138.370067302487</v>
      </c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167">
        <f t="shared" si="4"/>
        <v>268</v>
      </c>
      <c r="R269" s="159">
        <f t="shared" si="6"/>
        <v>65.356149433128678</v>
      </c>
      <c r="S269" s="168">
        <f t="shared" si="7"/>
        <v>122789.4685606297</v>
      </c>
      <c r="T269" s="151">
        <v>268</v>
      </c>
      <c r="U269" s="159">
        <f t="shared" si="8"/>
        <v>7.261794381458742</v>
      </c>
      <c r="V269" s="168">
        <f t="shared" si="9"/>
        <v>122789.4685606297</v>
      </c>
    </row>
    <row r="270" spans="1:22" ht="15.75" customHeight="1" x14ac:dyDescent="0.2">
      <c r="A270" s="165">
        <f t="shared" si="5"/>
        <v>269</v>
      </c>
      <c r="B270" s="166">
        <v>81135.769323937609</v>
      </c>
      <c r="C270" s="3">
        <v>80170.658152937176</v>
      </c>
      <c r="D270" s="3">
        <v>82100.880494938043</v>
      </c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167">
        <f t="shared" si="4"/>
        <v>269</v>
      </c>
      <c r="R270" s="159">
        <f t="shared" si="6"/>
        <v>65.604140413976538</v>
      </c>
      <c r="S270" s="168">
        <f t="shared" si="7"/>
        <v>123674.76932393761</v>
      </c>
      <c r="T270" s="151">
        <v>269</v>
      </c>
      <c r="U270" s="159">
        <f t="shared" si="8"/>
        <v>7.2893489348862817</v>
      </c>
      <c r="V270" s="168">
        <f t="shared" si="9"/>
        <v>123674.76932393761</v>
      </c>
    </row>
    <row r="271" spans="1:22" ht="15.75" customHeight="1" x14ac:dyDescent="0.2">
      <c r="A271" s="165">
        <f t="shared" si="5"/>
        <v>270</v>
      </c>
      <c r="B271" s="166">
        <v>82021.070087245505</v>
      </c>
      <c r="C271" s="3">
        <v>80976.633723131672</v>
      </c>
      <c r="D271" s="3">
        <v>83065.506451359339</v>
      </c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167">
        <f t="shared" si="4"/>
        <v>270</v>
      </c>
      <c r="R271" s="159">
        <f t="shared" si="6"/>
        <v>65.848606242590861</v>
      </c>
      <c r="S271" s="168">
        <f t="shared" si="7"/>
        <v>124560.07008724551</v>
      </c>
      <c r="T271" s="151">
        <v>270</v>
      </c>
      <c r="U271" s="159">
        <f t="shared" si="8"/>
        <v>7.3165118047323192</v>
      </c>
      <c r="V271" s="168">
        <f t="shared" si="9"/>
        <v>124560.07008724551</v>
      </c>
    </row>
    <row r="272" spans="1:22" ht="15.75" customHeight="1" x14ac:dyDescent="0.2">
      <c r="A272" s="165">
        <f t="shared" si="5"/>
        <v>271</v>
      </c>
      <c r="B272" s="166">
        <v>82906.370850553416</v>
      </c>
      <c r="C272" s="3">
        <v>81780.548765833344</v>
      </c>
      <c r="D272" s="3">
        <v>84032.192935273488</v>
      </c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167">
        <f t="shared" si="4"/>
        <v>271</v>
      </c>
      <c r="R272" s="159">
        <f t="shared" si="6"/>
        <v>66.089621552733178</v>
      </c>
      <c r="S272" s="168">
        <f t="shared" si="7"/>
        <v>125445.37085055342</v>
      </c>
      <c r="T272" s="151">
        <v>271</v>
      </c>
      <c r="U272" s="159">
        <f t="shared" si="8"/>
        <v>7.3432912836370194</v>
      </c>
      <c r="V272" s="168">
        <f t="shared" si="9"/>
        <v>125445.37085055342</v>
      </c>
    </row>
    <row r="273" spans="1:22" ht="15.75" customHeight="1" x14ac:dyDescent="0.2">
      <c r="A273" s="165">
        <f t="shared" si="5"/>
        <v>272</v>
      </c>
      <c r="B273" s="166">
        <v>83791.671613861312</v>
      </c>
      <c r="C273" s="3">
        <v>82582.45419847178</v>
      </c>
      <c r="D273" s="3">
        <v>85000.889029250844</v>
      </c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167">
        <f t="shared" si="4"/>
        <v>272</v>
      </c>
      <c r="R273" s="159">
        <f t="shared" si="6"/>
        <v>66.327258886089453</v>
      </c>
      <c r="S273" s="168">
        <f t="shared" si="7"/>
        <v>126330.67161386131</v>
      </c>
      <c r="T273" s="151">
        <v>272</v>
      </c>
      <c r="U273" s="159">
        <f t="shared" si="8"/>
        <v>7.3696954317877168</v>
      </c>
      <c r="V273" s="168">
        <f t="shared" si="9"/>
        <v>126330.67161386131</v>
      </c>
    </row>
    <row r="274" spans="1:22" ht="15.75" customHeight="1" x14ac:dyDescent="0.2">
      <c r="A274" s="165">
        <f t="shared" si="5"/>
        <v>273</v>
      </c>
      <c r="B274" s="166">
        <v>84676.972377169208</v>
      </c>
      <c r="C274" s="3">
        <v>83382.397337085335</v>
      </c>
      <c r="D274" s="3">
        <v>85971.547417253081</v>
      </c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167">
        <f t="shared" si="4"/>
        <v>273</v>
      </c>
      <c r="R274" s="159">
        <f t="shared" si="6"/>
        <v>66.561588765064343</v>
      </c>
      <c r="S274" s="168">
        <f t="shared" si="7"/>
        <v>127215.97237716921</v>
      </c>
      <c r="T274" s="151">
        <v>273</v>
      </c>
      <c r="U274" s="159">
        <f t="shared" si="8"/>
        <v>7.3957320850071495</v>
      </c>
      <c r="V274" s="168">
        <f t="shared" si="9"/>
        <v>127215.97237716921</v>
      </c>
    </row>
    <row r="275" spans="1:22" ht="15.75" customHeight="1" x14ac:dyDescent="0.2">
      <c r="A275" s="165">
        <f t="shared" si="5"/>
        <v>274</v>
      </c>
      <c r="B275" s="166">
        <v>85562.273140477118</v>
      </c>
      <c r="C275" s="3">
        <v>84180.422302421473</v>
      </c>
      <c r="D275" s="3">
        <v>86944.123978532763</v>
      </c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167">
        <f t="shared" si="4"/>
        <v>274</v>
      </c>
      <c r="R275" s="159">
        <f t="shared" si="6"/>
        <v>66.792679762556844</v>
      </c>
      <c r="S275" s="168">
        <f t="shared" si="7"/>
        <v>128101.27314047712</v>
      </c>
      <c r="T275" s="151">
        <v>274</v>
      </c>
      <c r="U275" s="159">
        <f t="shared" si="8"/>
        <v>7.4214088625063148</v>
      </c>
      <c r="V275" s="168">
        <f t="shared" si="9"/>
        <v>128101.27314047712</v>
      </c>
    </row>
    <row r="276" spans="1:22" ht="15.75" customHeight="1" x14ac:dyDescent="0.2">
      <c r="A276" s="165">
        <f t="shared" si="5"/>
        <v>275</v>
      </c>
      <c r="B276" s="166">
        <v>86447.573903785014</v>
      </c>
      <c r="C276" s="3">
        <v>84976.570364573359</v>
      </c>
      <c r="D276" s="3">
        <v>87918.57744299667</v>
      </c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167">
        <f t="shared" si="4"/>
        <v>275</v>
      </c>
      <c r="R276" s="159">
        <f t="shared" si="6"/>
        <v>67.020598568862582</v>
      </c>
      <c r="S276" s="168">
        <f t="shared" si="7"/>
        <v>128986.57390378501</v>
      </c>
      <c r="T276" s="151">
        <v>275</v>
      </c>
      <c r="U276" s="159">
        <f t="shared" si="8"/>
        <v>7.4467331743180658</v>
      </c>
      <c r="V276" s="168">
        <f t="shared" si="9"/>
        <v>128986.57390378501</v>
      </c>
    </row>
    <row r="277" spans="1:22" ht="15.75" customHeight="1" x14ac:dyDescent="0.2">
      <c r="A277" s="165">
        <f t="shared" si="5"/>
        <v>276</v>
      </c>
      <c r="B277" s="166">
        <v>87332.874667092925</v>
      </c>
      <c r="C277" s="3">
        <v>85770.880237642632</v>
      </c>
      <c r="D277" s="3">
        <v>88894.869096543218</v>
      </c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167">
        <f t="shared" si="4"/>
        <v>276</v>
      </c>
      <c r="R277" s="159">
        <f t="shared" si="6"/>
        <v>67.24541005583977</v>
      </c>
      <c r="S277" s="168">
        <f t="shared" si="7"/>
        <v>129871.87466709292</v>
      </c>
      <c r="T277" s="151">
        <v>276</v>
      </c>
      <c r="U277" s="159">
        <f t="shared" si="8"/>
        <v>7.4717122284266395</v>
      </c>
      <c r="V277" s="168">
        <f t="shared" si="9"/>
        <v>129871.87466709292</v>
      </c>
    </row>
    <row r="278" spans="1:22" ht="15.75" customHeight="1" x14ac:dyDescent="0.2">
      <c r="A278" s="165">
        <f t="shared" si="5"/>
        <v>277</v>
      </c>
      <c r="B278" s="166">
        <v>88218.175430400821</v>
      </c>
      <c r="C278" s="3">
        <v>86563.388333391718</v>
      </c>
      <c r="D278" s="3">
        <v>89872.962527409923</v>
      </c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167">
        <f t="shared" si="4"/>
        <v>277</v>
      </c>
      <c r="R278" s="159">
        <f t="shared" si="6"/>
        <v>67.46717733846846</v>
      </c>
      <c r="S278" s="168">
        <f t="shared" si="7"/>
        <v>130757.17543040082</v>
      </c>
      <c r="T278" s="151">
        <v>277</v>
      </c>
      <c r="U278" s="159">
        <f t="shared" si="8"/>
        <v>7.496353037607606</v>
      </c>
      <c r="V278" s="168">
        <f t="shared" si="9"/>
        <v>130757.17543040082</v>
      </c>
    </row>
    <row r="279" spans="1:22" ht="15.75" customHeight="1" x14ac:dyDescent="0.2">
      <c r="A279" s="165">
        <f t="shared" si="5"/>
        <v>278</v>
      </c>
      <c r="B279" s="166">
        <v>89103.476193708717</v>
      </c>
      <c r="C279" s="3">
        <v>87354.128980955749</v>
      </c>
      <c r="D279" s="3">
        <v>90852.823406461684</v>
      </c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167">
        <f t="shared" si="4"/>
        <v>278</v>
      </c>
      <c r="R279" s="159">
        <f t="shared" si="6"/>
        <v>67.68596183392593</v>
      </c>
      <c r="S279" s="168">
        <f t="shared" si="7"/>
        <v>131642.47619370872</v>
      </c>
      <c r="T279" s="151">
        <v>278</v>
      </c>
      <c r="U279" s="159">
        <f t="shared" si="8"/>
        <v>7.5206624259917714</v>
      </c>
      <c r="V279" s="168">
        <f t="shared" si="9"/>
        <v>131642.47619370872</v>
      </c>
    </row>
    <row r="280" spans="1:22" ht="15.75" customHeight="1" x14ac:dyDescent="0.2">
      <c r="A280" s="165">
        <f t="shared" si="5"/>
        <v>279</v>
      </c>
      <c r="B280" s="166">
        <v>89988.776957016627</v>
      </c>
      <c r="C280" s="3">
        <v>88143.134618246419</v>
      </c>
      <c r="D280" s="3">
        <v>91834.419295786836</v>
      </c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167">
        <f t="shared" si="4"/>
        <v>279</v>
      </c>
      <c r="R280" s="159">
        <f t="shared" si="6"/>
        <v>67.901823318294348</v>
      </c>
      <c r="S280" s="168">
        <f t="shared" si="7"/>
        <v>132527.77695701661</v>
      </c>
      <c r="T280" s="151">
        <v>279</v>
      </c>
      <c r="U280" s="159">
        <f t="shared" si="8"/>
        <v>7.5446470353660384</v>
      </c>
      <c r="V280" s="168">
        <f t="shared" si="9"/>
        <v>132527.77695701661</v>
      </c>
    </row>
    <row r="281" spans="1:22" ht="15.75" customHeight="1" x14ac:dyDescent="0.2">
      <c r="A281" s="165">
        <f t="shared" si="5"/>
        <v>280</v>
      </c>
      <c r="B281" s="166">
        <v>90874.077720324523</v>
      </c>
      <c r="C281" s="3">
        <v>88930.435959576731</v>
      </c>
      <c r="D281" s="3">
        <v>92817.719481072316</v>
      </c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167">
        <f t="shared" si="4"/>
        <v>280</v>
      </c>
      <c r="R281" s="159">
        <f t="shared" si="6"/>
        <v>68.114819981010385</v>
      </c>
      <c r="S281" s="168">
        <f t="shared" si="7"/>
        <v>133413.07772032451</v>
      </c>
      <c r="T281" s="151">
        <v>280</v>
      </c>
      <c r="U281" s="159">
        <f t="shared" si="8"/>
        <v>7.5683133312233766</v>
      </c>
      <c r="V281" s="168">
        <f t="shared" si="9"/>
        <v>133413.07772032451</v>
      </c>
    </row>
    <row r="282" spans="1:22" ht="15.75" customHeight="1" x14ac:dyDescent="0.2">
      <c r="A282" s="165">
        <f t="shared" si="5"/>
        <v>281</v>
      </c>
      <c r="B282" s="166">
        <v>91759.378483632434</v>
      </c>
      <c r="C282" s="3">
        <v>89716.06214317937</v>
      </c>
      <c r="D282" s="3">
        <v>93802.694824085498</v>
      </c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167">
        <f t="shared" si="4"/>
        <v>281</v>
      </c>
      <c r="R282" s="159">
        <f t="shared" si="6"/>
        <v>68.325008477161603</v>
      </c>
      <c r="S282" s="168">
        <f t="shared" si="7"/>
        <v>134298.37848363243</v>
      </c>
      <c r="T282" s="151">
        <v>281</v>
      </c>
      <c r="U282" s="159">
        <f t="shared" si="8"/>
        <v>7.59166760857351</v>
      </c>
      <c r="V282" s="168">
        <f t="shared" si="9"/>
        <v>134298.37848363243</v>
      </c>
    </row>
    <row r="283" spans="1:22" ht="15.75" customHeight="1" x14ac:dyDescent="0.2">
      <c r="A283" s="165">
        <f t="shared" si="5"/>
        <v>282</v>
      </c>
      <c r="B283" s="166">
        <v>92644.67924694033</v>
      </c>
      <c r="C283" s="3">
        <v>90500.040861619505</v>
      </c>
      <c r="D283" s="3">
        <v>94789.317632261154</v>
      </c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167">
        <f t="shared" si="4"/>
        <v>282</v>
      </c>
      <c r="R283" s="159">
        <f t="shared" si="6"/>
        <v>68.532443977727581</v>
      </c>
      <c r="S283" s="168">
        <f t="shared" si="7"/>
        <v>135183.67924694033</v>
      </c>
      <c r="T283" s="151">
        <v>282</v>
      </c>
      <c r="U283" s="159">
        <f t="shared" si="8"/>
        <v>7.6147159975252867</v>
      </c>
      <c r="V283" s="168">
        <f t="shared" si="9"/>
        <v>135183.67924694033</v>
      </c>
    </row>
    <row r="284" spans="1:22" ht="15.75" customHeight="1" x14ac:dyDescent="0.2">
      <c r="A284" s="165">
        <f t="shared" si="5"/>
        <v>283</v>
      </c>
      <c r="B284" s="166">
        <v>93529.980010248226</v>
      </c>
      <c r="C284" s="3">
        <v>91282.398477573384</v>
      </c>
      <c r="D284" s="3">
        <v>95777.561542923067</v>
      </c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167">
        <f t="shared" si="4"/>
        <v>283</v>
      </c>
      <c r="R284" s="159">
        <f t="shared" si="6"/>
        <v>68.737180217860001</v>
      </c>
      <c r="S284" s="168">
        <f t="shared" si="7"/>
        <v>136068.98001024823</v>
      </c>
      <c r="T284" s="151">
        <v>283</v>
      </c>
      <c r="U284" s="159">
        <f t="shared" si="8"/>
        <v>7.6374644686511122</v>
      </c>
      <c r="V284" s="168">
        <f t="shared" si="9"/>
        <v>136068.98001024823</v>
      </c>
    </row>
    <row r="285" spans="1:22" ht="15.75" customHeight="1" x14ac:dyDescent="0.2">
      <c r="A285" s="165">
        <f t="shared" si="5"/>
        <v>284</v>
      </c>
      <c r="B285" s="166">
        <v>94415.280773556136</v>
      </c>
      <c r="C285" s="3">
        <v>92063.160127019903</v>
      </c>
      <c r="D285" s="3">
        <v>96767.40142009237</v>
      </c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167">
        <f t="shared" si="4"/>
        <v>284</v>
      </c>
      <c r="R285" s="159">
        <f t="shared" si="6"/>
        <v>68.939269543290052</v>
      </c>
      <c r="S285" s="168">
        <f t="shared" si="7"/>
        <v>136954.28077355615</v>
      </c>
      <c r="T285" s="151">
        <v>284</v>
      </c>
      <c r="U285" s="159">
        <f t="shared" si="8"/>
        <v>7.6599188381433381</v>
      </c>
      <c r="V285" s="168">
        <f t="shared" si="9"/>
        <v>136954.28077355615</v>
      </c>
    </row>
    <row r="286" spans="1:22" ht="15.75" customHeight="1" x14ac:dyDescent="0.2">
      <c r="A286" s="165">
        <f t="shared" si="5"/>
        <v>285</v>
      </c>
      <c r="B286" s="166">
        <v>95300.581536864032</v>
      </c>
      <c r="C286" s="3">
        <v>92842.349811552966</v>
      </c>
      <c r="D286" s="3">
        <v>97758.813262175099</v>
      </c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167">
        <f t="shared" si="4"/>
        <v>285</v>
      </c>
      <c r="R286" s="159">
        <f t="shared" si="6"/>
        <v>69.138762954947524</v>
      </c>
      <c r="S286" s="168">
        <f t="shared" si="7"/>
        <v>137839.58153686405</v>
      </c>
      <c r="T286" s="151">
        <v>285</v>
      </c>
      <c r="U286" s="159">
        <f t="shared" si="8"/>
        <v>7.6820847727719466</v>
      </c>
      <c r="V286" s="168">
        <f t="shared" si="9"/>
        <v>137839.58153686405</v>
      </c>
    </row>
    <row r="287" spans="1:22" ht="15.75" customHeight="1" x14ac:dyDescent="0.2">
      <c r="A287" s="165">
        <f t="shared" si="5"/>
        <v>286</v>
      </c>
      <c r="B287" s="166">
        <v>96185.882300171943</v>
      </c>
      <c r="C287" s="3">
        <v>93619.990481247471</v>
      </c>
      <c r="D287" s="3">
        <v>98751.774119096415</v>
      </c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167">
        <f t="shared" si="4"/>
        <v>286</v>
      </c>
      <c r="R287" s="159">
        <f t="shared" si="6"/>
        <v>69.335710151871382</v>
      </c>
      <c r="S287" s="168">
        <f t="shared" si="7"/>
        <v>138724.88230017194</v>
      </c>
      <c r="T287" s="151">
        <v>286</v>
      </c>
      <c r="U287" s="159">
        <f t="shared" si="8"/>
        <v>7.7039677946523764</v>
      </c>
      <c r="V287" s="168">
        <f t="shared" si="9"/>
        <v>138724.88230017194</v>
      </c>
    </row>
    <row r="288" spans="1:22" ht="15.75" customHeight="1" x14ac:dyDescent="0.2">
      <c r="A288" s="165">
        <f t="shared" si="5"/>
        <v>287</v>
      </c>
      <c r="B288" s="166">
        <v>97071.183063479839</v>
      </c>
      <c r="C288" s="3">
        <v>94396.10410928684</v>
      </c>
      <c r="D288" s="3">
        <v>99746.262017672838</v>
      </c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167">
        <f t="shared" si="4"/>
        <v>287</v>
      </c>
      <c r="R288" s="159">
        <f t="shared" si="6"/>
        <v>69.530159572487776</v>
      </c>
      <c r="S288" s="168">
        <f t="shared" si="7"/>
        <v>139610.18306347984</v>
      </c>
      <c r="T288" s="151">
        <v>287</v>
      </c>
      <c r="U288" s="159">
        <f t="shared" si="8"/>
        <v>7.7255732858319757</v>
      </c>
      <c r="V288" s="168">
        <f t="shared" si="9"/>
        <v>139610.18306347984</v>
      </c>
    </row>
    <row r="289" spans="1:22" ht="15.75" customHeight="1" x14ac:dyDescent="0.2">
      <c r="A289" s="165">
        <f t="shared" si="5"/>
        <v>288</v>
      </c>
      <c r="B289" s="166">
        <v>97956.483826787735</v>
      </c>
      <c r="C289" s="3">
        <v>95170.711759377111</v>
      </c>
      <c r="D289" s="3">
        <v>100742.25589419836</v>
      </c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167">
        <f t="shared" si="4"/>
        <v>288</v>
      </c>
      <c r="R289" s="159">
        <f t="shared" si="6"/>
        <v>69.722158434327369</v>
      </c>
      <c r="S289" s="168">
        <f t="shared" si="7"/>
        <v>140495.48382678773</v>
      </c>
      <c r="T289" s="151">
        <v>288</v>
      </c>
      <c r="U289" s="159">
        <f t="shared" si="8"/>
        <v>7.7469064927030411</v>
      </c>
      <c r="V289" s="168">
        <f t="shared" si="9"/>
        <v>140495.48382678773</v>
      </c>
    </row>
    <row r="290" spans="1:22" ht="15.75" customHeight="1" x14ac:dyDescent="0.2">
      <c r="A290" s="165">
        <f t="shared" si="5"/>
        <v>289</v>
      </c>
      <c r="B290" s="166">
        <v>98841.784590095631</v>
      </c>
      <c r="C290" s="3">
        <v>95943.833646820101</v>
      </c>
      <c r="D290" s="3">
        <v>101739.73553337116</v>
      </c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167">
        <f t="shared" si="4"/>
        <v>289</v>
      </c>
      <c r="R290" s="159">
        <f t="shared" si="6"/>
        <v>69.911752772250452</v>
      </c>
      <c r="S290" s="168">
        <f t="shared" si="7"/>
        <v>141380.78459009563</v>
      </c>
      <c r="T290" s="151">
        <v>289</v>
      </c>
      <c r="U290" s="159">
        <f t="shared" si="8"/>
        <v>7.7679725302500513</v>
      </c>
      <c r="V290" s="168">
        <f t="shared" si="9"/>
        <v>141380.78459009563</v>
      </c>
    </row>
    <row r="291" spans="1:22" ht="15.75" customHeight="1" x14ac:dyDescent="0.2">
      <c r="A291" s="165">
        <f t="shared" si="5"/>
        <v>290</v>
      </c>
      <c r="B291" s="166">
        <v>99727.085353403541</v>
      </c>
      <c r="C291" s="3">
        <v>96715.489193992995</v>
      </c>
      <c r="D291" s="3">
        <v>102738.68151281409</v>
      </c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167">
        <f t="shared" si="4"/>
        <v>290</v>
      </c>
      <c r="R291" s="159">
        <f t="shared" si="6"/>
        <v>70.098987475244883</v>
      </c>
      <c r="S291" s="168">
        <f t="shared" si="7"/>
        <v>142266.08535340353</v>
      </c>
      <c r="T291" s="151">
        <v>290</v>
      </c>
      <c r="U291" s="159">
        <f t="shared" si="8"/>
        <v>7.7887763861383217</v>
      </c>
      <c r="V291" s="168">
        <f t="shared" si="9"/>
        <v>142266.08535340353</v>
      </c>
    </row>
    <row r="292" spans="1:22" ht="15.75" customHeight="1" x14ac:dyDescent="0.2">
      <c r="A292" s="165">
        <f t="shared" si="5"/>
        <v>291</v>
      </c>
      <c r="B292" s="166">
        <v>100612.38611671145</v>
      </c>
      <c r="C292" s="3">
        <v>97485.697080876445</v>
      </c>
      <c r="D292" s="3">
        <v>103739.07515254646</v>
      </c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167">
        <f t="shared" si="4"/>
        <v>291</v>
      </c>
      <c r="R292" s="159">
        <f t="shared" si="6"/>
        <v>70.28390632185851</v>
      </c>
      <c r="S292" s="168">
        <f t="shared" si="7"/>
        <v>143151.38611671145</v>
      </c>
      <c r="T292" s="151">
        <v>291</v>
      </c>
      <c r="U292" s="159">
        <f t="shared" si="8"/>
        <v>7.8093229246509468</v>
      </c>
      <c r="V292" s="168">
        <f t="shared" si="9"/>
        <v>143151.38611671145</v>
      </c>
    </row>
    <row r="293" spans="1:22" ht="15.75" customHeight="1" x14ac:dyDescent="0.2">
      <c r="A293" s="165">
        <f t="shared" si="5"/>
        <v>292</v>
      </c>
      <c r="B293" s="166">
        <v>101497.68688001935</v>
      </c>
      <c r="C293" s="3">
        <v>98254.475291185518</v>
      </c>
      <c r="D293" s="3">
        <v>104740.89846885318</v>
      </c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167">
        <f t="shared" si="4"/>
        <v>292</v>
      </c>
      <c r="R293" s="159">
        <f t="shared" si="6"/>
        <v>70.46655201432506</v>
      </c>
      <c r="S293" s="168">
        <f t="shared" si="7"/>
        <v>144036.68688001935</v>
      </c>
      <c r="T293" s="151">
        <v>292</v>
      </c>
      <c r="U293" s="159">
        <f t="shared" si="8"/>
        <v>7.8296168904805619</v>
      </c>
      <c r="V293" s="168">
        <f t="shared" si="9"/>
        <v>144036.68688001935</v>
      </c>
    </row>
    <row r="294" spans="1:22" ht="15.75" customHeight="1" x14ac:dyDescent="0.2">
      <c r="A294" s="165">
        <f t="shared" si="5"/>
        <v>293</v>
      </c>
      <c r="B294" s="166">
        <v>102382.98764332724</v>
      </c>
      <c r="C294" s="3">
        <v>99021.841154583657</v>
      </c>
      <c r="D294" s="3">
        <v>105744.13413207083</v>
      </c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167">
        <f t="shared" si="4"/>
        <v>293</v>
      </c>
      <c r="R294" s="159">
        <f t="shared" si="6"/>
        <v>70.646966211439036</v>
      </c>
      <c r="S294" s="168">
        <f t="shared" si="7"/>
        <v>144921.98764332724</v>
      </c>
      <c r="T294" s="151">
        <v>293</v>
      </c>
      <c r="U294" s="159">
        <f t="shared" si="8"/>
        <v>7.8496629123821142</v>
      </c>
      <c r="V294" s="168">
        <f t="shared" si="9"/>
        <v>144921.98764332724</v>
      </c>
    </row>
    <row r="295" spans="1:22" ht="15.75" customHeight="1" x14ac:dyDescent="0.2">
      <c r="A295" s="165">
        <f t="shared" si="5"/>
        <v>294</v>
      </c>
      <c r="B295" s="166">
        <v>103268.28840663514</v>
      </c>
      <c r="C295" s="3">
        <v>99787.81138539745</v>
      </c>
      <c r="D295" s="3">
        <v>106748.76542787283</v>
      </c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167">
        <f t="shared" si="4"/>
        <v>294</v>
      </c>
      <c r="R295" s="159">
        <f t="shared" si="6"/>
        <v>70.825189560233113</v>
      </c>
      <c r="S295" s="168">
        <f t="shared" si="7"/>
        <v>145807.28840663514</v>
      </c>
      <c r="T295" s="151">
        <v>294</v>
      </c>
      <c r="U295" s="159">
        <f t="shared" si="8"/>
        <v>7.8694655066925687</v>
      </c>
      <c r="V295" s="168">
        <f t="shared" si="9"/>
        <v>145807.28840663514</v>
      </c>
    </row>
    <row r="296" spans="1:22" ht="15.75" customHeight="1" x14ac:dyDescent="0.2">
      <c r="A296" s="165">
        <f t="shared" si="5"/>
        <v>295</v>
      </c>
      <c r="B296" s="166">
        <v>104153.58916994305</v>
      </c>
      <c r="C296" s="3">
        <v>100552.40211819633</v>
      </c>
      <c r="D296" s="3">
        <v>107754.77622168977</v>
      </c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167">
        <f t="shared" si="4"/>
        <v>295</v>
      </c>
      <c r="R296" s="159">
        <f t="shared" si="6"/>
        <v>71.001261726508432</v>
      </c>
      <c r="S296" s="168">
        <f t="shared" si="7"/>
        <v>146692.58916994306</v>
      </c>
      <c r="T296" s="151">
        <v>295</v>
      </c>
      <c r="U296" s="159">
        <f t="shared" si="8"/>
        <v>7.8890290807231604</v>
      </c>
      <c r="V296" s="168">
        <f t="shared" si="9"/>
        <v>146692.58916994306</v>
      </c>
    </row>
    <row r="297" spans="1:22" ht="15.75" customHeight="1" x14ac:dyDescent="0.2">
      <c r="A297" s="165">
        <f t="shared" si="5"/>
        <v>296</v>
      </c>
      <c r="B297" s="166">
        <v>105038.88993325096</v>
      </c>
      <c r="C297" s="3">
        <v>101315.62894055675</v>
      </c>
      <c r="D297" s="3">
        <v>108762.15092594517</v>
      </c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167">
        <f t="shared" si="4"/>
        <v>296</v>
      </c>
      <c r="R297" s="159">
        <f t="shared" si="6"/>
        <v>71.175221424266027</v>
      </c>
      <c r="S297" s="168">
        <f t="shared" si="7"/>
        <v>147577.88993325096</v>
      </c>
      <c r="T297" s="151">
        <v>296</v>
      </c>
      <c r="U297" s="159">
        <f t="shared" si="8"/>
        <v>7.9083579360295575</v>
      </c>
      <c r="V297" s="168">
        <f t="shared" si="9"/>
        <v>147577.88993325096</v>
      </c>
    </row>
    <row r="298" spans="1:22" ht="15.75" customHeight="1" x14ac:dyDescent="0.2">
      <c r="A298" s="165">
        <f t="shared" si="5"/>
        <v>297</v>
      </c>
      <c r="B298" s="166">
        <v>105924.19069655886</v>
      </c>
      <c r="C298" s="3">
        <v>102077.50692329067</v>
      </c>
      <c r="D298" s="3">
        <v>109770.87446982705</v>
      </c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167">
        <f t="shared" si="4"/>
        <v>297</v>
      </c>
      <c r="R298" s="159">
        <f t="shared" si="6"/>
        <v>71.347106444085071</v>
      </c>
      <c r="S298" s="168">
        <f t="shared" si="7"/>
        <v>148463.19069655886</v>
      </c>
      <c r="T298" s="151">
        <v>297</v>
      </c>
      <c r="U298" s="159">
        <f t="shared" si="8"/>
        <v>7.9274562715650072</v>
      </c>
      <c r="V298" s="168">
        <f t="shared" si="9"/>
        <v>148463.19069655886</v>
      </c>
    </row>
    <row r="299" spans="1:22" ht="15.75" customHeight="1" x14ac:dyDescent="0.2">
      <c r="A299" s="165">
        <f t="shared" si="5"/>
        <v>298</v>
      </c>
      <c r="B299" s="166">
        <v>106809.49145986675</v>
      </c>
      <c r="C299" s="3">
        <v>102838.05064838548</v>
      </c>
      <c r="D299" s="3">
        <v>110780.93227134802</v>
      </c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167">
        <f t="shared" si="4"/>
        <v>298</v>
      </c>
      <c r="R299" s="159">
        <f t="shared" si="6"/>
        <v>71.516953680492207</v>
      </c>
      <c r="S299" s="168">
        <f t="shared" si="7"/>
        <v>149348.49145986675</v>
      </c>
      <c r="T299" s="151">
        <v>298</v>
      </c>
      <c r="U299" s="159">
        <f t="shared" si="8"/>
        <v>7.9463281867213551</v>
      </c>
      <c r="V299" s="168">
        <f t="shared" si="9"/>
        <v>149348.49145986675</v>
      </c>
    </row>
    <row r="300" spans="1:22" ht="15.75" customHeight="1" x14ac:dyDescent="0.2">
      <c r="A300" s="165">
        <f t="shared" si="5"/>
        <v>299</v>
      </c>
      <c r="B300" s="166">
        <v>107694.79222317465</v>
      </c>
      <c r="C300" s="3">
        <v>103597.27423487342</v>
      </c>
      <c r="D300" s="3">
        <v>111792.31021147588</v>
      </c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167">
        <f t="shared" si="4"/>
        <v>299</v>
      </c>
      <c r="R300" s="159">
        <f t="shared" si="6"/>
        <v>71.684799158362694</v>
      </c>
      <c r="S300" s="168">
        <f t="shared" si="7"/>
        <v>150233.79222317465</v>
      </c>
      <c r="T300" s="151">
        <v>299</v>
      </c>
      <c r="U300" s="159">
        <f t="shared" si="8"/>
        <v>7.9649776842625215</v>
      </c>
      <c r="V300" s="168">
        <f t="shared" si="9"/>
        <v>150233.79222317465</v>
      </c>
    </row>
    <row r="301" spans="1:22" ht="15.75" customHeight="1" x14ac:dyDescent="0.2">
      <c r="A301" s="165">
        <f t="shared" si="5"/>
        <v>300</v>
      </c>
      <c r="B301" s="166">
        <v>108580.09298648256</v>
      </c>
      <c r="C301" s="3">
        <v>104355.19136282369</v>
      </c>
      <c r="D301" s="3">
        <v>112804.99461014142</v>
      </c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169">
        <f t="shared" si="4"/>
        <v>300</v>
      </c>
      <c r="R301" s="170">
        <f t="shared" si="6"/>
        <v>71.850678058393953</v>
      </c>
      <c r="S301" s="171">
        <f t="shared" si="7"/>
        <v>151119.09298648254</v>
      </c>
      <c r="T301" s="151">
        <v>300</v>
      </c>
      <c r="U301" s="159">
        <f t="shared" si="8"/>
        <v>7.9834086731548819</v>
      </c>
      <c r="V301" s="168">
        <f t="shared" si="9"/>
        <v>151119.09298648254</v>
      </c>
    </row>
    <row r="302" spans="1:22" ht="15.75" customHeight="1" x14ac:dyDescent="0.15">
      <c r="B302" s="3">
        <v>109465.39374979047</v>
      </c>
      <c r="C302" s="3">
        <v>105111.81529562891</v>
      </c>
      <c r="D302" s="3">
        <v>113818.97220395203</v>
      </c>
    </row>
    <row r="303" spans="1:22" ht="15.75" customHeight="1" x14ac:dyDescent="0.15">
      <c r="B303" s="3">
        <v>110350.69451309837</v>
      </c>
      <c r="C303" s="3">
        <v>105867.15890073881</v>
      </c>
      <c r="D303" s="3">
        <v>114834.23012545792</v>
      </c>
    </row>
    <row r="304" spans="1:22" ht="15.75" customHeight="1" x14ac:dyDescent="0.15">
      <c r="B304" s="3">
        <v>111235.99527640626</v>
      </c>
      <c r="C304" s="3">
        <v>106621.23466897749</v>
      </c>
      <c r="D304" s="3">
        <v>115850.75588383504</v>
      </c>
    </row>
    <row r="305" spans="2:4" ht="15.75" customHeight="1" x14ac:dyDescent="0.15">
      <c r="B305" s="3">
        <v>112121.29603971416</v>
      </c>
      <c r="C305" s="3">
        <v>107374.05473256628</v>
      </c>
      <c r="D305" s="3">
        <v>116868.53734686204</v>
      </c>
    </row>
    <row r="306" spans="2:4" ht="15.75" customHeight="1" x14ac:dyDescent="0.15">
      <c r="B306" s="3">
        <v>113006.59680302207</v>
      </c>
      <c r="C306" s="3">
        <v>108125.6308819618</v>
      </c>
      <c r="D306" s="3">
        <v>117887.56272408234</v>
      </c>
    </row>
    <row r="307" spans="2:4" ht="15.75" customHeight="1" x14ac:dyDescent="0.15">
      <c r="B307" s="3">
        <v>113891.89756632998</v>
      </c>
      <c r="C307" s="3">
        <v>108875.97458160731</v>
      </c>
      <c r="D307" s="3">
        <v>118907.82055105265</v>
      </c>
    </row>
    <row r="308" spans="2:4" ht="15.75" customHeight="1" x14ac:dyDescent="0.15">
      <c r="B308" s="3">
        <v>114777.19832963787</v>
      </c>
      <c r="C308" s="3">
        <v>109625.09698468604</v>
      </c>
      <c r="D308" s="3">
        <v>119929.29967458971</v>
      </c>
    </row>
    <row r="309" spans="2:4" ht="15.75" customHeight="1" x14ac:dyDescent="0.15">
      <c r="B309" s="3">
        <v>115662.49909294577</v>
      </c>
      <c r="C309" s="3">
        <v>110373.00894695634</v>
      </c>
      <c r="D309" s="3">
        <v>120951.9892389352</v>
      </c>
    </row>
    <row r="310" spans="2:4" ht="15.75" customHeight="1" x14ac:dyDescent="0.15">
      <c r="B310" s="3">
        <v>116547.79985625367</v>
      </c>
      <c r="C310" s="3">
        <v>111119.72103974092</v>
      </c>
      <c r="D310" s="3">
        <v>121975.87867276641</v>
      </c>
    </row>
    <row r="311" spans="2:4" ht="15.75" customHeight="1" x14ac:dyDescent="0.15">
      <c r="B311" s="3">
        <v>117433.10061956158</v>
      </c>
      <c r="C311" s="3">
        <v>111865.24356213535</v>
      </c>
      <c r="D311" s="3">
        <v>123000.9576769878</v>
      </c>
    </row>
    <row r="312" spans="2:4" ht="15.75" customHeight="1" x14ac:dyDescent="0.15">
      <c r="B312" s="3">
        <v>118318.40138286949</v>
      </c>
      <c r="C312" s="3">
        <v>112609.5865524953</v>
      </c>
      <c r="D312" s="3">
        <v>124027.21621324368</v>
      </c>
    </row>
    <row r="313" spans="2:4" ht="15.75" customHeight="1" x14ac:dyDescent="0.15">
      <c r="B313" s="3">
        <v>119203.70214617738</v>
      </c>
      <c r="C313" s="3">
        <v>113352.75979925637</v>
      </c>
      <c r="D313" s="3">
        <v>125054.6444930984</v>
      </c>
    </row>
    <row r="314" spans="2:4" ht="15.75" customHeight="1" x14ac:dyDescent="0.15">
      <c r="B314" s="3">
        <v>120089.00290948528</v>
      </c>
      <c r="C314" s="3">
        <v>114094.7728511357</v>
      </c>
      <c r="D314" s="3">
        <v>126083.23296783486</v>
      </c>
    </row>
    <row r="315" spans="2:4" ht="15.75" customHeight="1" x14ac:dyDescent="0.15">
      <c r="B315" s="3">
        <v>120974.30367279318</v>
      </c>
      <c r="C315" s="3">
        <v>114835.63502675958</v>
      </c>
      <c r="D315" s="3">
        <v>127112.97231882677</v>
      </c>
    </row>
    <row r="316" spans="2:4" ht="15.75" customHeight="1" x14ac:dyDescent="0.15"/>
    <row r="317" spans="2:4" ht="15.75" customHeight="1" x14ac:dyDescent="0.15"/>
    <row r="318" spans="2:4" ht="15.75" customHeight="1" x14ac:dyDescent="0.15"/>
    <row r="319" spans="2:4" ht="15.75" customHeight="1" x14ac:dyDescent="0.15"/>
    <row r="320" spans="2:4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000"/>
  <sheetViews>
    <sheetView workbookViewId="0"/>
  </sheetViews>
  <sheetFormatPr baseColWidth="10" defaultColWidth="12.6640625" defaultRowHeight="15" customHeight="1" x14ac:dyDescent="0.15"/>
  <cols>
    <col min="1" max="7" width="8.6640625" customWidth="1"/>
    <col min="8" max="26" width="14.33203125" customWidth="1"/>
  </cols>
  <sheetData>
    <row r="1" spans="2:7" ht="12.75" customHeight="1" x14ac:dyDescent="0.15"/>
    <row r="2" spans="2:7" ht="12.75" customHeight="1" x14ac:dyDescent="0.15">
      <c r="B2" s="172" t="s">
        <v>125</v>
      </c>
      <c r="C2" s="172" t="s">
        <v>126</v>
      </c>
      <c r="D2" s="172" t="s">
        <v>127</v>
      </c>
      <c r="F2" s="203" t="s">
        <v>128</v>
      </c>
      <c r="G2" s="204"/>
    </row>
    <row r="3" spans="2:7" ht="12.75" customHeight="1" x14ac:dyDescent="0.15">
      <c r="B3" s="173">
        <v>1</v>
      </c>
      <c r="C3" s="173">
        <f>IF(('Damage Calculator'!$B$11-B3)&lt;0,0,('Damage Calculator'!$B$11-B3)+1)</f>
        <v>222</v>
      </c>
      <c r="D3" s="14">
        <v>1</v>
      </c>
      <c r="F3" s="14" t="s">
        <v>129</v>
      </c>
      <c r="G3" s="14">
        <f>($D$3-$G$10)/$G$4</f>
        <v>2.1741068601016954E-2</v>
      </c>
    </row>
    <row r="4" spans="2:7" ht="12.75" customHeight="1" x14ac:dyDescent="0.15">
      <c r="B4" s="173">
        <v>10</v>
      </c>
      <c r="C4" s="173">
        <f>IF(('Damage Calculator'!$B$11-B4)&lt;0,0,('Damage Calculator'!$B$11-B4))</f>
        <v>212</v>
      </c>
      <c r="D4" s="14">
        <f t="shared" ref="D4:D15" si="0">IF(C4=0,$G$10,(D3-$G$3))</f>
        <v>0.97825893139898301</v>
      </c>
      <c r="F4" s="14" t="s">
        <v>130</v>
      </c>
      <c r="G4" s="173">
        <f>COUNTIF(C3:C31,"&gt;0")</f>
        <v>23</v>
      </c>
    </row>
    <row r="5" spans="2:7" ht="12.75" customHeight="1" x14ac:dyDescent="0.15">
      <c r="B5" s="173">
        <f t="shared" ref="B5:B15" si="1">B4+10</f>
        <v>20</v>
      </c>
      <c r="C5" s="173">
        <f>IF(('Damage Calculator'!$B$11-B5)&lt;0,0,('Damage Calculator'!$B$11-B5))</f>
        <v>202</v>
      </c>
      <c r="D5" s="14">
        <f t="shared" si="0"/>
        <v>0.95651786279796602</v>
      </c>
      <c r="F5" s="14" t="s">
        <v>131</v>
      </c>
      <c r="G5" s="173">
        <f>ROUNDDOWN('Damage Calculator'!$B$12,-1)</f>
        <v>200</v>
      </c>
    </row>
    <row r="6" spans="2:7" ht="12.75" customHeight="1" x14ac:dyDescent="0.15">
      <c r="B6" s="173">
        <f t="shared" si="1"/>
        <v>30</v>
      </c>
      <c r="C6" s="173">
        <f>IF(('Damage Calculator'!$B$11-B6)&lt;0,0,('Damage Calculator'!$B$11-B6))</f>
        <v>192</v>
      </c>
      <c r="D6" s="14">
        <f t="shared" si="0"/>
        <v>0.93477679419694903</v>
      </c>
      <c r="F6" s="14" t="s">
        <v>132</v>
      </c>
      <c r="G6" s="173">
        <f>ABS('Damage Calculator'!$B$11-'Damage Calculator'!$B$12)</f>
        <v>22</v>
      </c>
    </row>
    <row r="7" spans="2:7" ht="12.75" customHeight="1" x14ac:dyDescent="0.15">
      <c r="B7" s="173">
        <f t="shared" si="1"/>
        <v>40</v>
      </c>
      <c r="C7" s="173">
        <f>IF(('Damage Calculator'!$B$11-B7)&lt;0,0,('Damage Calculator'!$B$11-B7))</f>
        <v>182</v>
      </c>
      <c r="D7" s="14">
        <f t="shared" si="0"/>
        <v>0.91303572559593205</v>
      </c>
      <c r="F7" s="14" t="s">
        <v>104</v>
      </c>
      <c r="G7" s="14">
        <f>IF(G6=0,$G$10,IF(G6=('Damage Calculator'!$B$11-1),100%,_xlfn.FORECAST.LINEAR($G$6,$D$3:$D$34,$C$3:$C$34)))</f>
        <v>0.55840559283889646</v>
      </c>
    </row>
    <row r="8" spans="2:7" ht="12.75" customHeight="1" x14ac:dyDescent="0.15">
      <c r="B8" s="173">
        <f t="shared" si="1"/>
        <v>50</v>
      </c>
      <c r="C8" s="173">
        <f>IF(('Damage Calculator'!$B$11-B8)&lt;0,0,('Damage Calculator'!$B$11-B8))</f>
        <v>172</v>
      </c>
      <c r="D8" s="14">
        <f t="shared" si="0"/>
        <v>0.89129465699491506</v>
      </c>
      <c r="F8" s="14" t="s">
        <v>133</v>
      </c>
      <c r="G8" s="14">
        <f>+IF('Damage Calculator'!$B$11-'Damage Calculator'!$B$12&lt;=70,('Damage Calculator'!$B$11-'Damage Calculator'!$B$12)/1000,0)</f>
        <v>2.1999999999999999E-2</v>
      </c>
    </row>
    <row r="9" spans="2:7" ht="12.75" customHeight="1" x14ac:dyDescent="0.15">
      <c r="B9" s="173">
        <f t="shared" si="1"/>
        <v>60</v>
      </c>
      <c r="C9" s="173">
        <f>IF(('Damage Calculator'!$B$11-B9)&lt;0,0,('Damage Calculator'!$B$11-B9))</f>
        <v>162</v>
      </c>
      <c r="D9" s="14">
        <f t="shared" si="0"/>
        <v>0.86955358839389807</v>
      </c>
      <c r="F9" s="14" t="s">
        <v>134</v>
      </c>
      <c r="G9" s="14">
        <f>G7+G8</f>
        <v>0.58040559283889648</v>
      </c>
    </row>
    <row r="10" spans="2:7" ht="12.75" customHeight="1" x14ac:dyDescent="0.15">
      <c r="B10" s="173">
        <f t="shared" si="1"/>
        <v>70</v>
      </c>
      <c r="C10" s="173">
        <f>IF(('Damage Calculator'!$B$11-B10)&lt;0,0,('Damage Calculator'!$B$11-B10))</f>
        <v>152</v>
      </c>
      <c r="D10" s="14">
        <f t="shared" si="0"/>
        <v>0.84781251979288108</v>
      </c>
      <c r="F10" s="14" t="s">
        <v>135</v>
      </c>
      <c r="G10" s="14">
        <v>0.4999554221766101</v>
      </c>
    </row>
    <row r="11" spans="2:7" ht="12.75" customHeight="1" x14ac:dyDescent="0.15">
      <c r="B11" s="173">
        <f t="shared" si="1"/>
        <v>80</v>
      </c>
      <c r="C11" s="173">
        <f>IF(('Damage Calculator'!$B$11-B11)&lt;0,0,('Damage Calculator'!$B$11-B11))</f>
        <v>142</v>
      </c>
      <c r="D11" s="14">
        <f t="shared" si="0"/>
        <v>0.82607145119186409</v>
      </c>
    </row>
    <row r="12" spans="2:7" ht="12.75" customHeight="1" x14ac:dyDescent="0.15">
      <c r="B12" s="173">
        <f t="shared" si="1"/>
        <v>90</v>
      </c>
      <c r="C12" s="173">
        <f>IF(('Damage Calculator'!$B$11-B12)&lt;0,0,('Damage Calculator'!$B$11-B12))</f>
        <v>132</v>
      </c>
      <c r="D12" s="14">
        <f t="shared" si="0"/>
        <v>0.8043303825908471</v>
      </c>
    </row>
    <row r="13" spans="2:7" ht="12.75" customHeight="1" x14ac:dyDescent="0.15">
      <c r="B13" s="173">
        <f t="shared" si="1"/>
        <v>100</v>
      </c>
      <c r="C13" s="173">
        <f>IF(('Damage Calculator'!$B$11-B13)&lt;0,0,('Damage Calculator'!$B$11-B13))</f>
        <v>122</v>
      </c>
      <c r="D13" s="14">
        <f t="shared" si="0"/>
        <v>0.78258931398983012</v>
      </c>
    </row>
    <row r="14" spans="2:7" ht="12.75" customHeight="1" x14ac:dyDescent="0.15">
      <c r="B14" s="173">
        <f t="shared" si="1"/>
        <v>110</v>
      </c>
      <c r="C14" s="173">
        <f>IF(('Damage Calculator'!$B$11-B14)&lt;0,0,('Damage Calculator'!$B$11-B14))</f>
        <v>112</v>
      </c>
      <c r="D14" s="14">
        <f t="shared" si="0"/>
        <v>0.76084824538881313</v>
      </c>
    </row>
    <row r="15" spans="2:7" ht="12.75" customHeight="1" x14ac:dyDescent="0.15">
      <c r="B15" s="173">
        <f t="shared" si="1"/>
        <v>120</v>
      </c>
      <c r="C15" s="173">
        <f>IF(('Damage Calculator'!$B$11-B15)&lt;0,0,('Damage Calculator'!$B$11-B15))</f>
        <v>102</v>
      </c>
      <c r="D15" s="14">
        <f t="shared" si="0"/>
        <v>0.73910717678779614</v>
      </c>
      <c r="F15" s="174"/>
    </row>
    <row r="16" spans="2:7" ht="12.75" customHeight="1" x14ac:dyDescent="0.15">
      <c r="B16" s="173"/>
      <c r="C16" s="173"/>
      <c r="D16" s="14"/>
      <c r="F16" s="174"/>
    </row>
    <row r="17" spans="2:6" ht="12.75" customHeight="1" x14ac:dyDescent="0.15">
      <c r="B17" s="173"/>
      <c r="C17" s="173"/>
      <c r="D17" s="14"/>
      <c r="F17" s="174"/>
    </row>
    <row r="18" spans="2:6" ht="12.75" customHeight="1" x14ac:dyDescent="0.15">
      <c r="B18" s="173"/>
      <c r="C18" s="173"/>
      <c r="D18" s="14"/>
      <c r="F18" s="174"/>
    </row>
    <row r="19" spans="2:6" ht="12.75" customHeight="1" x14ac:dyDescent="0.15">
      <c r="B19" s="173">
        <f>B15+10</f>
        <v>130</v>
      </c>
      <c r="C19" s="173">
        <f>IF(('Damage Calculator'!$B$11-B19)&lt;0,0,('Damage Calculator'!$B$11-B19))</f>
        <v>92</v>
      </c>
      <c r="D19" s="14">
        <f>IF(C19=0,$G$10,(D15-$G$3))</f>
        <v>0.71736610818677915</v>
      </c>
    </row>
    <row r="20" spans="2:6" ht="12.75" customHeight="1" x14ac:dyDescent="0.15">
      <c r="B20" s="173">
        <f t="shared" ref="B20:B32" si="2">B19+10</f>
        <v>140</v>
      </c>
      <c r="C20" s="173">
        <f>IF(('Damage Calculator'!$B$11-B20)&lt;0,0,('Damage Calculator'!$B$11-B20))</f>
        <v>82</v>
      </c>
      <c r="D20" s="14">
        <f t="shared" ref="D20:D32" si="3">IF(C20=0,$G$10,(D19-$G$3))</f>
        <v>0.69562503958576216</v>
      </c>
    </row>
    <row r="21" spans="2:6" ht="12.75" customHeight="1" x14ac:dyDescent="0.15">
      <c r="B21" s="173">
        <f t="shared" si="2"/>
        <v>150</v>
      </c>
      <c r="C21" s="173">
        <f>IF(('Damage Calculator'!$B$11-B21)&lt;0,0,('Damage Calculator'!$B$11-B21))</f>
        <v>72</v>
      </c>
      <c r="D21" s="14">
        <f t="shared" si="3"/>
        <v>0.67388397098474517</v>
      </c>
    </row>
    <row r="22" spans="2:6" ht="12.75" customHeight="1" x14ac:dyDescent="0.15">
      <c r="B22" s="173">
        <f t="shared" si="2"/>
        <v>160</v>
      </c>
      <c r="C22" s="173">
        <f>IF(('Damage Calculator'!$B$11-B22)&lt;0,0,('Damage Calculator'!$B$11-B22))</f>
        <v>62</v>
      </c>
      <c r="D22" s="14">
        <f t="shared" si="3"/>
        <v>0.65214290238372818</v>
      </c>
    </row>
    <row r="23" spans="2:6" ht="12.75" customHeight="1" x14ac:dyDescent="0.15">
      <c r="B23" s="173">
        <f t="shared" si="2"/>
        <v>170</v>
      </c>
      <c r="C23" s="173">
        <f>IF(('Damage Calculator'!$B$11-B23)&lt;0,0,('Damage Calculator'!$B$11-B23))</f>
        <v>52</v>
      </c>
      <c r="D23" s="14">
        <f t="shared" si="3"/>
        <v>0.6304018337827112</v>
      </c>
    </row>
    <row r="24" spans="2:6" ht="12.75" customHeight="1" x14ac:dyDescent="0.15">
      <c r="B24" s="173">
        <f t="shared" si="2"/>
        <v>180</v>
      </c>
      <c r="C24" s="173">
        <f>IF(('Damage Calculator'!$B$11-B24)&lt;0,0,('Damage Calculator'!$B$11-B24))</f>
        <v>42</v>
      </c>
      <c r="D24" s="14">
        <f t="shared" si="3"/>
        <v>0.60866076518169421</v>
      </c>
    </row>
    <row r="25" spans="2:6" ht="12.75" customHeight="1" x14ac:dyDescent="0.15">
      <c r="B25" s="173">
        <f t="shared" si="2"/>
        <v>190</v>
      </c>
      <c r="C25" s="173">
        <f>IF(('Damage Calculator'!$B$11-B25)&lt;0,0,('Damage Calculator'!$B$11-B25))</f>
        <v>32</v>
      </c>
      <c r="D25" s="14">
        <f t="shared" si="3"/>
        <v>0.58691969658067722</v>
      </c>
    </row>
    <row r="26" spans="2:6" ht="12.75" customHeight="1" x14ac:dyDescent="0.15">
      <c r="B26" s="173">
        <f t="shared" si="2"/>
        <v>200</v>
      </c>
      <c r="C26" s="173">
        <f>IF(('Damage Calculator'!$B$11-B26)&lt;0,0,('Damage Calculator'!$B$11-B26))</f>
        <v>22</v>
      </c>
      <c r="D26" s="14">
        <f t="shared" si="3"/>
        <v>0.56517862797966023</v>
      </c>
    </row>
    <row r="27" spans="2:6" ht="12.75" customHeight="1" x14ac:dyDescent="0.15">
      <c r="B27" s="173">
        <f t="shared" si="2"/>
        <v>210</v>
      </c>
      <c r="C27" s="173">
        <f>IF(('Damage Calculator'!$B$11-B27)&lt;0,0,('Damage Calculator'!$B$11-B27))</f>
        <v>12</v>
      </c>
      <c r="D27" s="14">
        <f t="shared" si="3"/>
        <v>0.54343755937864324</v>
      </c>
    </row>
    <row r="28" spans="2:6" ht="12.75" customHeight="1" x14ac:dyDescent="0.15">
      <c r="B28" s="173">
        <f t="shared" si="2"/>
        <v>220</v>
      </c>
      <c r="C28" s="173">
        <f>IF(('Damage Calculator'!$B$11-B28)&lt;0,0,('Damage Calculator'!$B$11-B28))</f>
        <v>2</v>
      </c>
      <c r="D28" s="14">
        <f t="shared" si="3"/>
        <v>0.52169649077762625</v>
      </c>
    </row>
    <row r="29" spans="2:6" ht="12.75" customHeight="1" x14ac:dyDescent="0.15">
      <c r="B29" s="173">
        <f t="shared" si="2"/>
        <v>230</v>
      </c>
      <c r="C29" s="173">
        <f>IF(('Damage Calculator'!$B$11-B29)&lt;0,0,('Damage Calculator'!$B$11-B29))</f>
        <v>0</v>
      </c>
      <c r="D29" s="14">
        <f t="shared" si="3"/>
        <v>0.4999554221766101</v>
      </c>
    </row>
    <row r="30" spans="2:6" ht="12.75" customHeight="1" x14ac:dyDescent="0.15">
      <c r="B30" s="173">
        <f t="shared" si="2"/>
        <v>240</v>
      </c>
      <c r="C30" s="173">
        <f>IF(('Damage Calculator'!$B$11-B30)&lt;0,0,('Damage Calculator'!$B$11-B30))</f>
        <v>0</v>
      </c>
      <c r="D30" s="14">
        <f t="shared" si="3"/>
        <v>0.4999554221766101</v>
      </c>
    </row>
    <row r="31" spans="2:6" ht="12.75" customHeight="1" x14ac:dyDescent="0.15">
      <c r="B31" s="173">
        <f t="shared" si="2"/>
        <v>250</v>
      </c>
      <c r="C31" s="173">
        <f>IF(('Damage Calculator'!$B$11-B31)&lt;0,0,('Damage Calculator'!$B$11-B31))</f>
        <v>0</v>
      </c>
      <c r="D31" s="14">
        <f t="shared" si="3"/>
        <v>0.4999554221766101</v>
      </c>
    </row>
    <row r="32" spans="2:6" ht="12.75" customHeight="1" x14ac:dyDescent="0.15">
      <c r="B32" s="173">
        <f t="shared" si="2"/>
        <v>260</v>
      </c>
      <c r="C32" s="173">
        <f>IF(('Damage Calculator'!$B$11-B32)&lt;0,0,('Damage Calculator'!$B$11-B32))</f>
        <v>0</v>
      </c>
      <c r="D32" s="14">
        <f t="shared" si="3"/>
        <v>0.4999554221766101</v>
      </c>
    </row>
    <row r="33" spans="2:4" ht="12.75" customHeight="1" x14ac:dyDescent="0.15">
      <c r="B33" s="173"/>
      <c r="C33" s="173"/>
      <c r="D33" s="14"/>
    </row>
    <row r="34" spans="2:4" ht="12.75" customHeight="1" x14ac:dyDescent="0.15">
      <c r="B34" s="173">
        <f>B32+10</f>
        <v>270</v>
      </c>
      <c r="C34" s="173">
        <f>IF(('Damage Calculator'!$B$11-B34)&lt;0,0,('Damage Calculator'!$B$11-B34))</f>
        <v>0</v>
      </c>
      <c r="D34" s="14">
        <f>IF(C34=0,$G$10,(D32-$G$3))</f>
        <v>0.4999554221766101</v>
      </c>
    </row>
    <row r="35" spans="2:4" ht="12.75" customHeight="1" x14ac:dyDescent="0.15">
      <c r="B35" s="173">
        <f t="shared" ref="B35:B37" si="4">B34+10</f>
        <v>280</v>
      </c>
      <c r="C35" s="173">
        <f>IF(('Damage Calculator'!$B$11-B35)&lt;0,0,('Damage Calculator'!$B$11-B35))</f>
        <v>0</v>
      </c>
      <c r="D35" s="14">
        <f t="shared" ref="D35:D37" si="5">IF(C35=0,$G$10,(D34-$G$3))</f>
        <v>0.4999554221766101</v>
      </c>
    </row>
    <row r="36" spans="2:4" ht="12.75" customHeight="1" x14ac:dyDescent="0.15">
      <c r="B36" s="173">
        <f t="shared" si="4"/>
        <v>290</v>
      </c>
      <c r="C36" s="173">
        <f>IF(('Damage Calculator'!$B$11-B36)&lt;0,0,('Damage Calculator'!$B$11-B36))</f>
        <v>0</v>
      </c>
      <c r="D36" s="14">
        <f t="shared" si="5"/>
        <v>0.4999554221766101</v>
      </c>
    </row>
    <row r="37" spans="2:4" ht="12.75" customHeight="1" x14ac:dyDescent="0.15">
      <c r="B37" s="173">
        <f t="shared" si="4"/>
        <v>300</v>
      </c>
      <c r="C37" s="173">
        <f>IF(('Damage Calculator'!$B$11-B37)&lt;0,0,('Damage Calculator'!$B$11-B37))</f>
        <v>0</v>
      </c>
      <c r="D37" s="14">
        <f t="shared" si="5"/>
        <v>0.4999554221766101</v>
      </c>
    </row>
    <row r="38" spans="2:4" ht="12.75" customHeight="1" x14ac:dyDescent="0.15"/>
    <row r="39" spans="2:4" ht="12.75" customHeight="1" x14ac:dyDescent="0.15"/>
    <row r="40" spans="2:4" ht="12.75" customHeight="1" x14ac:dyDescent="0.15"/>
    <row r="41" spans="2:4" ht="12.75" customHeight="1" x14ac:dyDescent="0.15"/>
    <row r="42" spans="2:4" ht="12.75" customHeight="1" x14ac:dyDescent="0.15"/>
    <row r="43" spans="2:4" ht="12.75" customHeight="1" x14ac:dyDescent="0.15"/>
    <row r="44" spans="2:4" ht="12.75" customHeight="1" x14ac:dyDescent="0.15"/>
    <row r="45" spans="2:4" ht="12.75" customHeight="1" x14ac:dyDescent="0.15"/>
    <row r="46" spans="2:4" ht="12.75" customHeight="1" x14ac:dyDescent="0.15"/>
    <row r="47" spans="2:4" ht="12.75" customHeight="1" x14ac:dyDescent="0.15"/>
    <row r="48" spans="2:4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F2:G2"/>
  </mergeCells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H1:I1000"/>
  <sheetViews>
    <sheetView workbookViewId="0"/>
  </sheetViews>
  <sheetFormatPr baseColWidth="10" defaultColWidth="12.6640625" defaultRowHeight="15" customHeight="1" x14ac:dyDescent="0.15"/>
  <cols>
    <col min="1" max="7" width="8.6640625" customWidth="1"/>
    <col min="8" max="8" width="145.33203125" customWidth="1"/>
    <col min="9" max="9" width="8.6640625" customWidth="1"/>
    <col min="10" max="26" width="14.33203125" customWidth="1"/>
  </cols>
  <sheetData>
    <row r="1" spans="8:8" ht="12.75" customHeight="1" x14ac:dyDescent="0.15"/>
    <row r="2" spans="8:8" ht="12.75" customHeight="1" x14ac:dyDescent="0.15"/>
    <row r="3" spans="8:8" ht="12.75" customHeight="1" x14ac:dyDescent="0.15"/>
    <row r="4" spans="8:8" ht="12.75" customHeight="1" x14ac:dyDescent="0.15"/>
    <row r="5" spans="8:8" ht="12.75" customHeight="1" x14ac:dyDescent="0.15"/>
    <row r="6" spans="8:8" ht="12.75" customHeight="1" x14ac:dyDescent="0.15"/>
    <row r="7" spans="8:8" ht="12.75" customHeight="1" x14ac:dyDescent="0.15">
      <c r="H7" s="175" t="s">
        <v>136</v>
      </c>
    </row>
    <row r="8" spans="8:8" ht="12.75" customHeight="1" x14ac:dyDescent="0.15"/>
    <row r="9" spans="8:8" ht="12.75" customHeight="1" x14ac:dyDescent="0.15">
      <c r="H9" s="68" t="s">
        <v>137</v>
      </c>
    </row>
    <row r="10" spans="8:8" ht="12.75" customHeight="1" x14ac:dyDescent="0.15"/>
    <row r="11" spans="8:8" ht="12.75" customHeight="1" x14ac:dyDescent="0.15">
      <c r="H11" s="68" t="s">
        <v>138</v>
      </c>
    </row>
    <row r="12" spans="8:8" ht="12.75" customHeight="1" x14ac:dyDescent="0.15"/>
    <row r="13" spans="8:8" ht="12.75" customHeight="1" x14ac:dyDescent="0.15">
      <c r="H13" s="68" t="s">
        <v>139</v>
      </c>
    </row>
    <row r="14" spans="8:8" ht="12.75" customHeight="1" x14ac:dyDescent="0.15"/>
    <row r="15" spans="8:8" ht="12.75" customHeight="1" x14ac:dyDescent="0.15">
      <c r="H15" s="68" t="s">
        <v>140</v>
      </c>
    </row>
    <row r="16" spans="8:8" ht="12.75" customHeight="1" x14ac:dyDescent="0.15"/>
    <row r="17" spans="8:8" ht="12.75" customHeight="1" x14ac:dyDescent="0.15">
      <c r="H17" s="68" t="s">
        <v>141</v>
      </c>
    </row>
    <row r="18" spans="8:8" ht="12.75" customHeight="1" x14ac:dyDescent="0.15"/>
    <row r="19" spans="8:8" ht="12.75" customHeight="1" x14ac:dyDescent="0.15">
      <c r="H19" s="130" t="s">
        <v>142</v>
      </c>
    </row>
    <row r="20" spans="8:8" ht="12.75" customHeight="1" x14ac:dyDescent="0.15"/>
    <row r="21" spans="8:8" ht="12.75" customHeight="1" x14ac:dyDescent="0.15">
      <c r="H21" s="68" t="s">
        <v>143</v>
      </c>
    </row>
    <row r="22" spans="8:8" ht="12.75" customHeight="1" x14ac:dyDescent="0.15"/>
    <row r="23" spans="8:8" ht="12.75" customHeight="1" x14ac:dyDescent="0.15">
      <c r="H23" s="130" t="s">
        <v>144</v>
      </c>
    </row>
    <row r="24" spans="8:8" ht="12.75" customHeight="1" x14ac:dyDescent="0.15"/>
    <row r="25" spans="8:8" ht="12.75" customHeight="1" x14ac:dyDescent="0.15">
      <c r="H25" s="130" t="s">
        <v>145</v>
      </c>
    </row>
    <row r="26" spans="8:8" ht="12.75" customHeight="1" x14ac:dyDescent="0.15"/>
    <row r="27" spans="8:8" ht="12.75" customHeight="1" x14ac:dyDescent="0.15">
      <c r="H27" s="68" t="s">
        <v>146</v>
      </c>
    </row>
    <row r="28" spans="8:8" ht="12.75" customHeight="1" x14ac:dyDescent="0.15"/>
    <row r="29" spans="8:8" ht="12.75" customHeight="1" x14ac:dyDescent="0.15">
      <c r="H29" s="130" t="s">
        <v>147</v>
      </c>
    </row>
    <row r="30" spans="8:8" ht="12.75" customHeight="1" x14ac:dyDescent="0.15"/>
    <row r="31" spans="8:8" ht="12.75" customHeight="1" x14ac:dyDescent="0.15"/>
    <row r="32" spans="8:8" ht="12.75" customHeight="1" x14ac:dyDescent="0.15"/>
    <row r="33" spans="8:8" ht="12.75" customHeight="1" x14ac:dyDescent="0.15">
      <c r="H33" s="176" t="s">
        <v>148</v>
      </c>
    </row>
    <row r="34" spans="8:8" ht="12.75" customHeight="1" x14ac:dyDescent="0.15"/>
    <row r="35" spans="8:8" ht="12.75" customHeight="1" x14ac:dyDescent="0.15">
      <c r="H35" s="177" t="s">
        <v>149</v>
      </c>
    </row>
    <row r="36" spans="8:8" ht="12.75" customHeight="1" x14ac:dyDescent="0.15"/>
    <row r="37" spans="8:8" ht="12.75" customHeight="1" x14ac:dyDescent="0.15">
      <c r="H37" s="176" t="s">
        <v>150</v>
      </c>
    </row>
    <row r="38" spans="8:8" ht="12.75" customHeight="1" x14ac:dyDescent="0.15"/>
    <row r="39" spans="8:8" ht="12.75" customHeight="1" x14ac:dyDescent="0.15">
      <c r="H39" s="176" t="s">
        <v>151</v>
      </c>
    </row>
    <row r="40" spans="8:8" ht="12.75" customHeight="1" x14ac:dyDescent="0.15"/>
    <row r="41" spans="8:8" ht="12.75" customHeight="1" x14ac:dyDescent="0.15">
      <c r="H41" s="177" t="s">
        <v>152</v>
      </c>
    </row>
    <row r="42" spans="8:8" ht="12.75" customHeight="1" x14ac:dyDescent="0.15"/>
    <row r="43" spans="8:8" ht="12.75" customHeight="1" x14ac:dyDescent="0.15">
      <c r="H43" s="177" t="s">
        <v>153</v>
      </c>
    </row>
    <row r="44" spans="8:8" ht="12.75" customHeight="1" x14ac:dyDescent="0.15"/>
    <row r="45" spans="8:8" ht="12.75" customHeight="1" x14ac:dyDescent="0.15"/>
    <row r="46" spans="8:8" ht="12.75" customHeight="1" x14ac:dyDescent="0.15">
      <c r="H46" s="177" t="s">
        <v>154</v>
      </c>
    </row>
    <row r="47" spans="8:8" ht="12.75" customHeight="1" x14ac:dyDescent="0.15"/>
    <row r="48" spans="8:8" ht="12.75" customHeight="1" x14ac:dyDescent="0.15">
      <c r="H48" s="177" t="s">
        <v>155</v>
      </c>
    </row>
    <row r="49" spans="8:9" ht="12.75" customHeight="1" x14ac:dyDescent="0.15"/>
    <row r="50" spans="8:9" ht="12.75" customHeight="1" x14ac:dyDescent="0.15">
      <c r="H50" s="177" t="s">
        <v>156</v>
      </c>
    </row>
    <row r="51" spans="8:9" ht="12.75" customHeight="1" x14ac:dyDescent="0.15"/>
    <row r="52" spans="8:9" ht="12.75" customHeight="1" x14ac:dyDescent="0.15">
      <c r="H52" s="177" t="s">
        <v>157</v>
      </c>
    </row>
    <row r="53" spans="8:9" ht="12.75" customHeight="1" x14ac:dyDescent="0.15"/>
    <row r="54" spans="8:9" ht="12.75" customHeight="1" x14ac:dyDescent="0.15">
      <c r="H54" s="177" t="s">
        <v>158</v>
      </c>
    </row>
    <row r="55" spans="8:9" ht="12.75" customHeight="1" x14ac:dyDescent="0.15"/>
    <row r="56" spans="8:9" ht="12.75" customHeight="1" x14ac:dyDescent="0.15">
      <c r="H56" s="177" t="s">
        <v>159</v>
      </c>
    </row>
    <row r="57" spans="8:9" ht="12.75" customHeight="1" x14ac:dyDescent="0.15"/>
    <row r="58" spans="8:9" ht="12.75" customHeight="1" x14ac:dyDescent="0.15"/>
    <row r="59" spans="8:9" ht="12.75" customHeight="1" x14ac:dyDescent="0.15">
      <c r="H59" s="178" t="s">
        <v>160</v>
      </c>
      <c r="I59" s="142" t="s">
        <v>161</v>
      </c>
    </row>
    <row r="60" spans="8:9" ht="12.75" customHeight="1" x14ac:dyDescent="0.15"/>
    <row r="61" spans="8:9" ht="12.75" customHeight="1" x14ac:dyDescent="0.15">
      <c r="H61" s="178" t="s">
        <v>162</v>
      </c>
    </row>
    <row r="62" spans="8:9" ht="12.75" customHeight="1" x14ac:dyDescent="0.15"/>
    <row r="63" spans="8:9" ht="12.75" customHeight="1" x14ac:dyDescent="0.15">
      <c r="H63" s="178" t="s">
        <v>163</v>
      </c>
    </row>
    <row r="64" spans="8:9" ht="12.75" customHeight="1" x14ac:dyDescent="0.15"/>
    <row r="65" spans="8:8" ht="12.75" customHeight="1" x14ac:dyDescent="0.15">
      <c r="H65" s="178" t="s">
        <v>164</v>
      </c>
    </row>
    <row r="66" spans="8:8" ht="12.75" customHeight="1" x14ac:dyDescent="0.15"/>
    <row r="67" spans="8:8" ht="12.75" customHeight="1" x14ac:dyDescent="0.15">
      <c r="H67" s="178" t="s">
        <v>165</v>
      </c>
    </row>
    <row r="68" spans="8:8" ht="12.75" customHeight="1" x14ac:dyDescent="0.15"/>
    <row r="69" spans="8:8" ht="12.75" customHeight="1" x14ac:dyDescent="0.15">
      <c r="H69" s="178" t="s">
        <v>166</v>
      </c>
    </row>
    <row r="70" spans="8:8" ht="12.75" customHeight="1" x14ac:dyDescent="0.15"/>
    <row r="71" spans="8:8" ht="12.75" customHeight="1" x14ac:dyDescent="0.15">
      <c r="H71" s="178" t="s">
        <v>167</v>
      </c>
    </row>
    <row r="72" spans="8:8" ht="12.75" customHeight="1" x14ac:dyDescent="0.15"/>
    <row r="73" spans="8:8" ht="12.75" customHeight="1" x14ac:dyDescent="0.15">
      <c r="H73" s="178" t="s">
        <v>168</v>
      </c>
    </row>
    <row r="74" spans="8:8" ht="12.75" customHeight="1" x14ac:dyDescent="0.15"/>
    <row r="75" spans="8:8" ht="12.75" customHeight="1" x14ac:dyDescent="0.15">
      <c r="H75" s="178" t="s">
        <v>169</v>
      </c>
    </row>
    <row r="76" spans="8:8" ht="12.75" customHeight="1" x14ac:dyDescent="0.15"/>
    <row r="77" spans="8:8" ht="12.75" customHeight="1" x14ac:dyDescent="0.15">
      <c r="H77" s="178" t="s">
        <v>170</v>
      </c>
    </row>
    <row r="78" spans="8:8" ht="12.75" customHeight="1" x14ac:dyDescent="0.15"/>
    <row r="79" spans="8:8" ht="12.75" customHeight="1" x14ac:dyDescent="0.15">
      <c r="H79" s="178" t="s">
        <v>171</v>
      </c>
    </row>
    <row r="80" spans="8:8" ht="12.75" customHeight="1" x14ac:dyDescent="0.15"/>
    <row r="81" spans="8:8" ht="12.75" customHeight="1" x14ac:dyDescent="0.15">
      <c r="H81" s="178" t="s">
        <v>172</v>
      </c>
    </row>
    <row r="82" spans="8:8" ht="12.75" customHeight="1" x14ac:dyDescent="0.15"/>
    <row r="83" spans="8:8" ht="12.75" customHeight="1" x14ac:dyDescent="0.15">
      <c r="H83" s="178" t="s">
        <v>173</v>
      </c>
    </row>
    <row r="84" spans="8:8" ht="12.75" customHeight="1" x14ac:dyDescent="0.15"/>
    <row r="85" spans="8:8" ht="12.75" customHeight="1" x14ac:dyDescent="0.15"/>
    <row r="86" spans="8:8" ht="12.75" customHeight="1" x14ac:dyDescent="0.15"/>
    <row r="87" spans="8:8" ht="12.75" customHeight="1" x14ac:dyDescent="0.15"/>
    <row r="88" spans="8:8" ht="12.75" customHeight="1" x14ac:dyDescent="0.15"/>
    <row r="89" spans="8:8" ht="12.75" customHeight="1" x14ac:dyDescent="0.15"/>
    <row r="90" spans="8:8" ht="12.75" customHeight="1" x14ac:dyDescent="0.15"/>
    <row r="91" spans="8:8" ht="12.75" customHeight="1" x14ac:dyDescent="0.15"/>
    <row r="92" spans="8:8" ht="12.75" customHeight="1" x14ac:dyDescent="0.15"/>
    <row r="93" spans="8:8" ht="12.75" customHeight="1" x14ac:dyDescent="0.15"/>
    <row r="94" spans="8:8" ht="12.75" customHeight="1" x14ac:dyDescent="0.15"/>
    <row r="95" spans="8:8" ht="12.75" customHeight="1" x14ac:dyDescent="0.15"/>
    <row r="96" spans="8:8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H19" r:id="rId1" location="gid=1964636317" xr:uid="{00000000-0004-0000-0500-000000000000}"/>
    <hyperlink ref="H23" r:id="rId2" xr:uid="{00000000-0004-0000-0500-000001000000}"/>
    <hyperlink ref="H25" r:id="rId3" xr:uid="{00000000-0004-0000-0500-000002000000}"/>
    <hyperlink ref="H29" r:id="rId4" location="/" xr:uid="{00000000-0004-0000-0500-000003000000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cols>
    <col min="1" max="1" width="17.83203125" customWidth="1"/>
    <col min="2" max="2" width="130.83203125" customWidth="1"/>
    <col min="3" max="6" width="12.33203125" customWidth="1"/>
    <col min="7" max="26" width="14.33203125" customWidth="1"/>
  </cols>
  <sheetData>
    <row r="1" spans="1:2" ht="15.75" customHeight="1" x14ac:dyDescent="0.15">
      <c r="A1" s="36" t="s">
        <v>174</v>
      </c>
      <c r="B1" s="36" t="s">
        <v>175</v>
      </c>
    </row>
    <row r="2" spans="1:2" ht="15.75" customHeight="1" x14ac:dyDescent="0.15">
      <c r="A2" s="35" t="s">
        <v>176</v>
      </c>
      <c r="B2" s="35" t="s">
        <v>177</v>
      </c>
    </row>
    <row r="3" spans="1:2" ht="15.75" customHeight="1" x14ac:dyDescent="0.15">
      <c r="A3" s="35" t="s">
        <v>176</v>
      </c>
      <c r="B3" s="35" t="s">
        <v>178</v>
      </c>
    </row>
    <row r="4" spans="1:2" ht="15.75" customHeight="1" x14ac:dyDescent="0.15">
      <c r="A4" s="35" t="s">
        <v>179</v>
      </c>
      <c r="B4" s="35" t="s">
        <v>180</v>
      </c>
    </row>
    <row r="5" spans="1:2" ht="15.75" customHeight="1" x14ac:dyDescent="0.15">
      <c r="A5" s="35" t="s">
        <v>181</v>
      </c>
      <c r="B5" s="35" t="s">
        <v>182</v>
      </c>
    </row>
    <row r="6" spans="1:2" ht="15.75" customHeight="1" x14ac:dyDescent="0.15">
      <c r="A6" s="35" t="s">
        <v>183</v>
      </c>
      <c r="B6" s="35" t="s">
        <v>184</v>
      </c>
    </row>
    <row r="7" spans="1:2" ht="15.75" customHeight="1" x14ac:dyDescent="0.15">
      <c r="A7" s="179" t="s">
        <v>185</v>
      </c>
      <c r="B7" s="35" t="s">
        <v>186</v>
      </c>
    </row>
    <row r="8" spans="1:2" ht="15.75" customHeight="1" x14ac:dyDescent="0.15">
      <c r="A8" s="35" t="s">
        <v>187</v>
      </c>
      <c r="B8" s="35" t="s">
        <v>188</v>
      </c>
    </row>
    <row r="9" spans="1:2" ht="15.75" customHeight="1" x14ac:dyDescent="0.15">
      <c r="A9" s="35" t="s">
        <v>189</v>
      </c>
      <c r="B9" s="35" t="s">
        <v>190</v>
      </c>
    </row>
    <row r="10" spans="1:2" ht="15.75" customHeight="1" x14ac:dyDescent="0.15">
      <c r="A10" s="35" t="s">
        <v>191</v>
      </c>
      <c r="B10" s="35" t="s">
        <v>192</v>
      </c>
    </row>
    <row r="11" spans="1:2" ht="15.75" customHeight="1" x14ac:dyDescent="0.15"/>
    <row r="12" spans="1:2" ht="15.75" customHeight="1" x14ac:dyDescent="0.15"/>
    <row r="13" spans="1:2" ht="15.75" customHeight="1" x14ac:dyDescent="0.15"/>
    <row r="14" spans="1:2" ht="15.75" customHeight="1" x14ac:dyDescent="0.15"/>
    <row r="15" spans="1:2" ht="15.75" customHeight="1" x14ac:dyDescent="0.15"/>
    <row r="16" spans="1: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Damage Calculator</vt:lpstr>
      <vt:lpstr>Credits</vt:lpstr>
      <vt:lpstr>Forecast DMG REDUC</vt:lpstr>
      <vt:lpstr>DMG REDUC (data mined)</vt:lpstr>
      <vt:lpstr>DMG REDUC (s3phy)</vt:lpstr>
      <vt:lpstr>Damage Formula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Jing-En Cheam</cp:lastModifiedBy>
  <dcterms:created xsi:type="dcterms:W3CDTF">2024-07-30T05:35:26Z</dcterms:created>
  <dcterms:modified xsi:type="dcterms:W3CDTF">2026-07-18T12:01:07Z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1c0bc7-c6be-49cd-a7d8-05e4908a7b56_Enabled">
    <vt:lpwstr>true</vt:lpwstr>
  </property>
  <property fmtid="{D5CDD505-2E9C-101B-9397-08002B2CF9AE}" pid="3" name="MSIP_Label_b41c0bc7-c6be-49cd-a7d8-05e4908a7b56_SetDate">
    <vt:lpwstr>2024-07-03T16:36:38Z</vt:lpwstr>
  </property>
  <property fmtid="{D5CDD505-2E9C-101B-9397-08002B2CF9AE}" pid="4" name="MSIP_Label_b41c0bc7-c6be-49cd-a7d8-05e4908a7b56_Method">
    <vt:lpwstr>Privileged</vt:lpwstr>
  </property>
  <property fmtid="{D5CDD505-2E9C-101B-9397-08002B2CF9AE}" pid="5" name="MSIP_Label_b41c0bc7-c6be-49cd-a7d8-05e4908a7b56_Name">
    <vt:lpwstr>Internal</vt:lpwstr>
  </property>
  <property fmtid="{D5CDD505-2E9C-101B-9397-08002B2CF9AE}" pid="6" name="MSIP_Label_b41c0bc7-c6be-49cd-a7d8-05e4908a7b56_SiteId">
    <vt:lpwstr>4cbfea0a-b872-47f0-b51c-1c64953c3f0b</vt:lpwstr>
  </property>
  <property fmtid="{D5CDD505-2E9C-101B-9397-08002B2CF9AE}" pid="7" name="MSIP_Label_b41c0bc7-c6be-49cd-a7d8-05e4908a7b56_ActionId">
    <vt:lpwstr>14e0ab19-ba4e-4966-b47c-4c7f52121fb2</vt:lpwstr>
  </property>
  <property fmtid="{D5CDD505-2E9C-101B-9397-08002B2CF9AE}" pid="8" name="MSIP_Label_b41c0bc7-c6be-49cd-a7d8-05e4908a7b56_ContentBits">
    <vt:lpwstr>0</vt:lpwstr>
  </property>
</Properties>
</file>